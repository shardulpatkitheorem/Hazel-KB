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https://vbtx.sharepoint.com/sites/ProjectVista/Shared Documents/Member-Engagement/Onboarding Banks/"/>
    </mc:Choice>
  </mc:AlternateContent>
  <xr:revisionPtr revIDLastSave="48" documentId="8_{D5BC9972-FB1D-4453-88C0-843D2B19B477}" xr6:coauthVersionLast="47" xr6:coauthVersionMax="47" xr10:uidLastSave="{309C510B-6402-415E-A6A7-A83064F3C335}"/>
  <bookViews>
    <workbookView xWindow="25695" yWindow="0" windowWidth="26010" windowHeight="20985" xr2:uid="{00000000-000D-0000-FFFF-FFFF00000000}"/>
  </bookViews>
  <sheets>
    <sheet name="Compliance" sheetId="1" r:id="rId1"/>
    <sheet name="Tenant Config" sheetId="8" r:id="rId2"/>
    <sheet name="Product Questions" sheetId="2" r:id="rId3"/>
    <sheet name="Product Type Configuration" sheetId="3" r:id="rId4"/>
    <sheet name="Limits" sheetId="5" r:id="rId5"/>
    <sheet name="Fees" sheetId="4" r:id="rId6"/>
    <sheet name="Operating Accounts" sheetId="6" r:id="rId7"/>
    <sheet name="Card" sheetId="7" r:id="rId8"/>
  </sheets>
  <externalReferences>
    <externalReference r:id="rId9"/>
  </externalReferenc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8" i="4" l="1"/>
  <c r="F108" i="4"/>
  <c r="H107" i="4"/>
  <c r="F107" i="4"/>
  <c r="H106" i="4"/>
  <c r="F106" i="4"/>
  <c r="H102" i="4"/>
  <c r="F102" i="4"/>
  <c r="H101" i="4"/>
  <c r="F101" i="4"/>
  <c r="H100" i="4"/>
  <c r="F100" i="4"/>
  <c r="F96" i="4"/>
  <c r="H95" i="4"/>
  <c r="F95" i="4"/>
  <c r="B93" i="4"/>
  <c r="H88" i="4"/>
  <c r="H111" i="4" s="1"/>
  <c r="F88" i="4"/>
  <c r="F111" i="4" s="1"/>
  <c r="H85" i="4"/>
  <c r="F85" i="4"/>
  <c r="H84" i="4"/>
  <c r="F84" i="4"/>
  <c r="H83" i="4"/>
  <c r="F83" i="4"/>
  <c r="H82" i="4"/>
  <c r="H105" i="4" s="1"/>
  <c r="F82" i="4"/>
  <c r="F105" i="4" s="1"/>
  <c r="H79" i="4"/>
  <c r="F79" i="4"/>
  <c r="H78" i="4"/>
  <c r="F78" i="4"/>
  <c r="H77" i="4"/>
  <c r="F77" i="4"/>
  <c r="H76" i="4"/>
  <c r="H99" i="4" s="1"/>
  <c r="F76" i="4"/>
  <c r="F99" i="4" s="1"/>
  <c r="F73" i="4"/>
  <c r="H72" i="4"/>
  <c r="F72" i="4"/>
  <c r="B70" i="4"/>
  <c r="H65" i="4"/>
  <c r="F65" i="4"/>
  <c r="H64" i="4"/>
  <c r="H87" i="4" s="1"/>
  <c r="H110" i="4" s="1"/>
  <c r="F64" i="4"/>
  <c r="F87" i="4" s="1"/>
  <c r="F110" i="4" s="1"/>
  <c r="H62" i="4"/>
  <c r="F62" i="4"/>
  <c r="H61" i="4"/>
  <c r="F61" i="4"/>
  <c r="H60" i="4"/>
  <c r="F60" i="4"/>
  <c r="H59" i="4"/>
  <c r="F59" i="4"/>
  <c r="H58" i="4"/>
  <c r="H81" i="4" s="1"/>
  <c r="H104" i="4" s="1"/>
  <c r="F58" i="4"/>
  <c r="F81" i="4" s="1"/>
  <c r="F104" i="4" s="1"/>
  <c r="H56" i="4"/>
  <c r="F56" i="4"/>
  <c r="H55" i="4"/>
  <c r="F55" i="4"/>
  <c r="H54" i="4"/>
  <c r="F54" i="4"/>
  <c r="H53" i="4"/>
  <c r="F53" i="4"/>
  <c r="H52" i="4"/>
  <c r="H75" i="4" s="1"/>
  <c r="H98" i="4" s="1"/>
  <c r="F52" i="4"/>
  <c r="F75" i="4" s="1"/>
  <c r="F98" i="4" s="1"/>
  <c r="F50" i="4"/>
  <c r="H49" i="4"/>
  <c r="F49" i="4"/>
  <c r="B47" i="4"/>
  <c r="H42" i="4"/>
  <c r="F42" i="4"/>
  <c r="H41" i="4"/>
  <c r="F41" i="4"/>
  <c r="H40" i="4"/>
  <c r="H63" i="4" s="1"/>
  <c r="H86" i="4" s="1"/>
  <c r="H109" i="4" s="1"/>
  <c r="F40" i="4"/>
  <c r="F63" i="4" s="1"/>
  <c r="F86" i="4" s="1"/>
  <c r="F109" i="4" s="1"/>
  <c r="H39" i="4"/>
  <c r="F39" i="4"/>
  <c r="H38" i="4"/>
  <c r="F38" i="4"/>
  <c r="H37" i="4"/>
  <c r="F37" i="4"/>
  <c r="H36" i="4"/>
  <c r="F36" i="4"/>
  <c r="H35" i="4"/>
  <c r="F35" i="4"/>
  <c r="H34" i="4"/>
  <c r="H57" i="4" s="1"/>
  <c r="H80" i="4" s="1"/>
  <c r="H103" i="4" s="1"/>
  <c r="F34" i="4"/>
  <c r="F57" i="4" s="1"/>
  <c r="F80" i="4" s="1"/>
  <c r="F103" i="4" s="1"/>
  <c r="H33" i="4"/>
  <c r="F33" i="4"/>
  <c r="H32" i="4"/>
  <c r="F32" i="4"/>
  <c r="H31" i="4"/>
  <c r="F31" i="4"/>
  <c r="H30" i="4"/>
  <c r="F30" i="4"/>
  <c r="H29" i="4"/>
  <c r="F29" i="4"/>
  <c r="H28" i="4"/>
  <c r="H51" i="4" s="1"/>
  <c r="H74" i="4" s="1"/>
  <c r="H97" i="4" s="1"/>
  <c r="F28" i="4"/>
  <c r="F51" i="4" s="1"/>
  <c r="F74" i="4" s="1"/>
  <c r="F97" i="4" s="1"/>
  <c r="F27" i="4"/>
  <c r="H26" i="4"/>
  <c r="F26" i="4"/>
  <c r="B24" i="4"/>
  <c r="B1" i="4"/>
  <c r="B18" i="5"/>
  <c r="B17" i="5"/>
</calcChain>
</file>

<file path=xl/sharedStrings.xml><?xml version="1.0" encoding="utf-8"?>
<sst xmlns="http://schemas.openxmlformats.org/spreadsheetml/2006/main" count="1003" uniqueCount="264">
  <si>
    <t>Feature</t>
  </si>
  <si>
    <t>Option</t>
  </si>
  <si>
    <t>Specify Provider</t>
  </si>
  <si>
    <t>Customer Types</t>
  </si>
  <si>
    <t>KYC (Retail)</t>
  </si>
  <si>
    <t>KYB</t>
  </si>
  <si>
    <t>KYC (Business Owner)</t>
  </si>
  <si>
    <t>Transaction Monitoring/AML</t>
  </si>
  <si>
    <t>Configuration</t>
  </si>
  <si>
    <t>Client Input</t>
  </si>
  <si>
    <t>Tenant Name</t>
  </si>
  <si>
    <t>Tenant Description</t>
  </si>
  <si>
    <t>Tenant Code</t>
  </si>
  <si>
    <t>RTN</t>
  </si>
  <si>
    <t>Account # Length</t>
  </si>
  <si>
    <t>Account # Prefix</t>
  </si>
  <si>
    <t>Notes</t>
  </si>
  <si>
    <t>FInTech Revenue (Charge End User) Managed Through Interlace?</t>
  </si>
  <si>
    <t>FinTech Revenue (Charge End User)  in Real-Time?</t>
  </si>
  <si>
    <t>Bank Revenue (Charge FinTech) Managed Though Interlace?</t>
  </si>
  <si>
    <t>Bank Revenue (Charge FinTech) in Real-Time?</t>
  </si>
  <si>
    <t>Limits Managed Through Interlace?</t>
  </si>
  <si>
    <t>Will there be Interest Splitting with the FinTech?</t>
  </si>
  <si>
    <t>Product</t>
  </si>
  <si>
    <t>Customer Type</t>
  </si>
  <si>
    <t>Account Type</t>
  </si>
  <si>
    <t>Product Name</t>
  </si>
  <si>
    <t>Product Description</t>
  </si>
  <si>
    <t>Interest Type</t>
  </si>
  <si>
    <t>Fixed Rate</t>
  </si>
  <si>
    <t>Variable Index</t>
  </si>
  <si>
    <t>Spread</t>
  </si>
  <si>
    <t>Min Rate</t>
  </si>
  <si>
    <t>Max Rate</t>
  </si>
  <si>
    <t>Tiers</t>
  </si>
  <si>
    <t>Product 1</t>
  </si>
  <si>
    <t>Retail</t>
  </si>
  <si>
    <t>Variable</t>
  </si>
  <si>
    <t>FFE</t>
  </si>
  <si>
    <t>Tier 1</t>
  </si>
  <si>
    <t>Tier 2</t>
  </si>
  <si>
    <t>Tier 3</t>
  </si>
  <si>
    <t>Product 2</t>
  </si>
  <si>
    <t>Checking</t>
  </si>
  <si>
    <t>ACH Inbound</t>
  </si>
  <si>
    <t>ACH Outbound</t>
  </si>
  <si>
    <t>Wire Inbound</t>
  </si>
  <si>
    <t>Wire Outbound</t>
  </si>
  <si>
    <t>FedNow Inbound</t>
  </si>
  <si>
    <t>FedNow Outbound</t>
  </si>
  <si>
    <t>Limit Type</t>
  </si>
  <si>
    <t>Limits</t>
  </si>
  <si>
    <t>Inbound Limit</t>
  </si>
  <si>
    <t xml:space="preserve">Soft </t>
  </si>
  <si>
    <t>Hard</t>
  </si>
  <si>
    <t>Program</t>
  </si>
  <si>
    <t>Transactional Limit</t>
  </si>
  <si>
    <t>Daily Limit</t>
  </si>
  <si>
    <t>Monthly Limit</t>
  </si>
  <si>
    <t>Product Limits: For Embedded Finance Programs</t>
  </si>
  <si>
    <t>#</t>
  </si>
  <si>
    <t>Category</t>
  </si>
  <si>
    <t>Item</t>
  </si>
  <si>
    <t>Desctiption</t>
  </si>
  <si>
    <t>RT/EOM?</t>
  </si>
  <si>
    <t>Bank Revenue (Charge Fintech)</t>
  </si>
  <si>
    <t>Fintech Revenue (Charge End User)</t>
  </si>
  <si>
    <t>Accounts</t>
  </si>
  <si>
    <t>Monthly Account Maintenance Fee</t>
  </si>
  <si>
    <t>This is the monthly fee that is charged oper account</t>
  </si>
  <si>
    <t>Account Opening Fee</t>
  </si>
  <si>
    <t>This is the charge for opening an account, most FinTechs will not charge this to the end user. It includes KYC/KYB and IAV costs</t>
  </si>
  <si>
    <t>ACH</t>
  </si>
  <si>
    <t>Standard ACH Fee (Inbound)</t>
  </si>
  <si>
    <t>Fee associated to ACH Transactions coming from the Fed</t>
  </si>
  <si>
    <t>Standard ACH Fee (Outbound)</t>
  </si>
  <si>
    <t>Fee associated to ACH Transactions that are originated</t>
  </si>
  <si>
    <t>Same-day ACH Fee (Outbound)</t>
  </si>
  <si>
    <t xml:space="preserve">Fee associated to expedited ACH Transactions that are originated for sameday </t>
  </si>
  <si>
    <t>ACH Administrative Return Fee</t>
  </si>
  <si>
    <t>Fee associated to receiving an ACH Administrative Return</t>
  </si>
  <si>
    <t>ACH Unauthorized Return Fee</t>
  </si>
  <si>
    <t>Fee associated to receiving an ACH Unauthorized Return</t>
  </si>
  <si>
    <t>ACH NSF Fee</t>
  </si>
  <si>
    <t>Fee associated to receiving an ACH NSF Return</t>
  </si>
  <si>
    <t>ACH Research Fee</t>
  </si>
  <si>
    <t>Fee associated to customer asking to research. an ACH</t>
  </si>
  <si>
    <t>WIRE</t>
  </si>
  <si>
    <t>Wire Transaction Fee (Outbound)</t>
  </si>
  <si>
    <t>Fee associated to sending a Wire</t>
  </si>
  <si>
    <t>Wire Transaction Fee (Inbound)</t>
  </si>
  <si>
    <t>Fee associated to receiving a Wire</t>
  </si>
  <si>
    <t>Wire Return Fee</t>
  </si>
  <si>
    <t>Fee associated to receiving a Wire Return Request</t>
  </si>
  <si>
    <t>FEDNOW</t>
  </si>
  <si>
    <t>FedNow Transaction Fee (Outbound)</t>
  </si>
  <si>
    <t>Fee associated to receiving an funds through FedNow rail</t>
  </si>
  <si>
    <t>FedNow Transaction Fee (Inbound)</t>
  </si>
  <si>
    <t>Fees associated to sendiing funds through FedNow rail</t>
  </si>
  <si>
    <t>Tenant Level</t>
  </si>
  <si>
    <t>Group Code</t>
  </si>
  <si>
    <t>Account Name</t>
  </si>
  <si>
    <t>Account Description</t>
  </si>
  <si>
    <t>Owned By</t>
  </si>
  <si>
    <t>GL Types</t>
  </si>
  <si>
    <t>Shadow Account</t>
  </si>
  <si>
    <t>Core Account Numbers</t>
  </si>
  <si>
    <t>Transfer Funds Rights</t>
  </si>
  <si>
    <t>View Account Rights</t>
  </si>
  <si>
    <t>ACH_SUSPENSE_OP_ACCT</t>
  </si>
  <si>
    <t>&lt;BANK TO FILL&gt;</t>
  </si>
  <si>
    <t>ACH Suspense</t>
  </si>
  <si>
    <t>Bank</t>
  </si>
  <si>
    <t>Operating Account</t>
  </si>
  <si>
    <t>N/A</t>
  </si>
  <si>
    <t>&lt;BANK TO FILL IF SHADOW ACCOUNT TRUE&gt;</t>
  </si>
  <si>
    <t>Bank Ops</t>
  </si>
  <si>
    <t>Infinant Admin,
Bank Ops</t>
  </si>
  <si>
    <t>PROGRAM_POOLED_ACCOUNTHOLDER</t>
  </si>
  <si>
    <t>Pooled Accountholder</t>
  </si>
  <si>
    <t>Infinant Admin,
Bank Ops,
Program Admin</t>
  </si>
  <si>
    <t>PROGRAM_REVENUE</t>
  </si>
  <si>
    <t>Program Revenue</t>
  </si>
  <si>
    <t>PROGRAM_RESERVE</t>
  </si>
  <si>
    <t>Program Reserve</t>
  </si>
  <si>
    <t>PROGRAM_INTEREST</t>
  </si>
  <si>
    <t>Program Interest Account</t>
  </si>
  <si>
    <t>Bank Ops,
Program Admin</t>
  </si>
  <si>
    <t>PROGRAM_INCOME</t>
  </si>
  <si>
    <t>Program Income Account</t>
  </si>
  <si>
    <t>PROGRAM_NETWORK_SETTLEMENT</t>
  </si>
  <si>
    <t>Program Network Settlement</t>
  </si>
  <si>
    <t>Infinant Administrator,
 Bank Ops,
 Program Admin</t>
  </si>
  <si>
    <t>PROGRAM_NETWORK_CLEARING</t>
  </si>
  <si>
    <t>PROGRAM NETWORK CLEARING</t>
  </si>
  <si>
    <t>PROGRAM_ADJUSTMENT</t>
  </si>
  <si>
    <t>PROGRAM ADJUSTMENT</t>
  </si>
  <si>
    <t xml:space="preserve">Bank Ops
</t>
  </si>
  <si>
    <t>Card Accounts</t>
  </si>
  <si>
    <t>Optional FBO</t>
  </si>
  <si>
    <t>Infinant Onboarding Questionnaire- Card</t>
  </si>
  <si>
    <t>Description</t>
  </si>
  <si>
    <t>Response</t>
  </si>
  <si>
    <t>Notes/Questions</t>
  </si>
  <si>
    <t>Product Type(s)? Consumer Debit, Commercial Debit</t>
  </si>
  <si>
    <t>Bank Visa BID# that lists Infinant as TPA (Third Party Agent)</t>
  </si>
  <si>
    <t>How many 8-digit BINs would you like to establish? 1 BIN equals 10 million PAN</t>
  </si>
  <si>
    <t>a.       List the BINs</t>
  </si>
  <si>
    <t>How many BINs or BIN ranges are being configured up front? One 9 digit BIN Range equals 1 million PAN</t>
  </si>
  <si>
    <t>a.       List the BINs or BIN ranges</t>
  </si>
  <si>
    <t>Program ID</t>
  </si>
  <si>
    <t>Card Type: Digital, Physical or both</t>
  </si>
  <si>
    <t>Card Issuance Vendor
Managed Card Vendor CPI, or other. Here is a list of the current Card Vendors that DPS Forwards supports aside from CPI:
Fiserv, Thales, Exceet, Arroweye, ABCorp
If a sponsor bank wishes to use their current card vendor and they are not already supported by DPS Forward, that would become an additional project to onboard the card vendor.   This would add additional time to then onboard the sponsor bank.</t>
  </si>
  <si>
    <t>If issuing Physical cards, what return address for card? (or CPI managed returns)</t>
  </si>
  <si>
    <t>What non-Visa regional PIN and POS networks wpuld you liek to use? Forward supports 
STAR (ATM, PIN, CNP)
Maestro ((Domestic PIN POS only) – ATM, PIN, CNP)
NYCE (ATM, POS)
Pulse (ATM, POS)</t>
  </si>
  <si>
    <t>Mail PINs? PIN first or card first.</t>
  </si>
  <si>
    <t>Will you Issue EMV Dual Interface Cards? (Contact and Contactless Capable) or Just EMV (Contact Only)</t>
  </si>
  <si>
    <t>Surcharge Free ATM networks? Foward supports Allpoint or MoneyPass</t>
  </si>
  <si>
    <t>If Prepaid, what cash-load network?</t>
  </si>
  <si>
    <t>What customer service number will be used to service cardholders?</t>
  </si>
  <si>
    <t>Do you want to provide tokenization services for digital wallet provisioning (apple pay, google pay etc.)?</t>
  </si>
  <si>
    <t>If yes, do you have digital wallet agreements with Apple, Google or Samsung thru VISA?</t>
  </si>
  <si>
    <t>Do you want to integrate In-App Push Provisioning to Digital Wallet?</t>
  </si>
  <si>
    <t>Do you wish to Integrate SDK for Digitial Card Display for Mobile, Web, Both?</t>
  </si>
  <si>
    <t>Expiration of cards? E.g. 36 months, 48 months</t>
  </si>
  <si>
    <t>What real-time risk engine will you be using? E.g. Sardine, Alloy, Visa DPS RSM</t>
  </si>
  <si>
    <t>Auto reissue cards 1 month prior to expiring? Only for cards with activity, or reissue any active card?</t>
  </si>
  <si>
    <t>Do you want to allow AFT transactions? (Visa Direct)</t>
  </si>
  <si>
    <t>Business minimum to chargeback dispute? Typically $25-50</t>
  </si>
  <si>
    <t>Customer Service Phone number that CPI Will Print on the back of the Card</t>
  </si>
  <si>
    <t>Do you pefer reports with Full PAN details or with masked PAN details</t>
  </si>
  <si>
    <t>Who Handles KYC/KYB and OFAC checking? Infiant Partners with Sardine</t>
  </si>
  <si>
    <t>Who is your target demographic?</t>
  </si>
  <si>
    <t>Who is your ideal cardholder?</t>
  </si>
  <si>
    <t>Are you PCI compliant?</t>
  </si>
  <si>
    <t xml:space="preserve">Use Cases for Minimum Viable Product:
Issue Debit Card to Cardholder (digital or physical or both) 
Card Activation and PIN Set 
Transaction at point-of-sale 
Online transaction 
ATM transaction with Physical Card 
Reissue card for lost/stolen replacement 
Card freeze/unfreeze 
Account Funding Transaction (i.e., Venmo, Cash App transaction) to pull funds from a card account to fund a push Original Credit Transaction (OCT) from a different account 
OCT transaction (Venmo / Cash App instant deposit) to send or push funds to an eligible card-based account resulting in a credit of funds to the cardholder’s account 
Stand-In Processing (STIP) 
Dispute Processing either using the Shared Service model or Dispute Processing where Infinant handles the entire process (depends on which Dispute Processing Service Infinant selects) 
Provision card in a digital wallet 
Preset digital card or card details (PAN, Expiration, and CVV2) in-app to customers to use for online transactions </t>
  </si>
  <si>
    <t>Transaction Limits</t>
  </si>
  <si>
    <t>Transaction Limit</t>
  </si>
  <si>
    <t>ATM Transaction Limit</t>
  </si>
  <si>
    <t>ATM Daily Limit</t>
  </si>
  <si>
    <t>ATM Monthly Limit</t>
  </si>
  <si>
    <t>Foreign restrictions</t>
  </si>
  <si>
    <t>MCC restrictions</t>
  </si>
  <si>
    <t>VISA DPS STIP (Stand In Processing) limit (Purchases)</t>
  </si>
  <si>
    <t>VISA DPS STIP (Stand In Processing) limit (Cash/ATM)</t>
  </si>
  <si>
    <t>VISA DPS STIP (Stand In Processing) limit  (Aggregate)</t>
  </si>
  <si>
    <r>
      <t xml:space="preserve">Hard Max limit (for raising limits)   </t>
    </r>
    <r>
      <rPr>
        <sz val="11"/>
        <color rgb="FFFF0000"/>
        <rFont val="Aptos"/>
        <family val="2"/>
      </rPr>
      <t>what does this apply too?   Is it POS or ATM or all combined?</t>
    </r>
  </si>
  <si>
    <t>Contacts</t>
  </si>
  <si>
    <t>Name</t>
  </si>
  <si>
    <t>Phone / Email</t>
  </si>
  <si>
    <t>Implementation Manager</t>
  </si>
  <si>
    <t>Customer Service</t>
  </si>
  <si>
    <t xml:space="preserve">Operations </t>
  </si>
  <si>
    <t>Disputes</t>
  </si>
  <si>
    <t>Both</t>
  </si>
  <si>
    <t>Same as Bank</t>
  </si>
  <si>
    <t>Sardine</t>
  </si>
  <si>
    <t>TransPecos</t>
  </si>
  <si>
    <t>TransPecos Member Bank Tenant</t>
  </si>
  <si>
    <t>Yes</t>
  </si>
  <si>
    <t>Real-Time</t>
  </si>
  <si>
    <t>Up to Fintech to make decision (will need to test real time process)</t>
  </si>
  <si>
    <t>EOM</t>
  </si>
  <si>
    <t>Interest Bearing &amp; Non-Interest Bearing Products?</t>
  </si>
  <si>
    <t>Consumer &amp; Business accounts will offer interest bearing account products, but we will start pilot with non-interest bearing accounts</t>
  </si>
  <si>
    <t>Outgoing Domestic Wire Cut Off Time</t>
  </si>
  <si>
    <t>3:30pm CST</t>
  </si>
  <si>
    <t>Commercial</t>
  </si>
  <si>
    <r>
      <t xml:space="preserve">Program Revenue </t>
    </r>
    <r>
      <rPr>
        <b/>
        <sz val="11"/>
        <color theme="1"/>
        <rFont val="Aptos Narrow"/>
        <family val="2"/>
        <scheme val="minor"/>
      </rPr>
      <t>(DDA)</t>
    </r>
  </si>
  <si>
    <r>
      <rPr>
        <b/>
        <sz val="11"/>
        <color rgb="FFFF0000"/>
        <rFont val="Aptos Narrow"/>
        <family val="2"/>
        <scheme val="minor"/>
      </rPr>
      <t>OPERATING ACCOUNT</t>
    </r>
    <r>
      <rPr>
        <sz val="11"/>
        <color theme="1"/>
        <rFont val="Aptos Narrow"/>
        <family val="2"/>
        <scheme val="minor"/>
      </rPr>
      <t xml:space="preserve"> Bank Revenue / FBO account</t>
    </r>
  </si>
  <si>
    <t>No Interest</t>
  </si>
  <si>
    <r>
      <t xml:space="preserve">Business TDA Outstanding Pooled Account </t>
    </r>
    <r>
      <rPr>
        <b/>
        <sz val="11"/>
        <color rgb="FFFF0000"/>
        <rFont val="Aptos Narrow"/>
        <family val="2"/>
        <scheme val="minor"/>
      </rPr>
      <t>(TDA)</t>
    </r>
  </si>
  <si>
    <r>
      <rPr>
        <b/>
        <sz val="11"/>
        <color rgb="FFFF0000"/>
        <rFont val="Aptos Narrow"/>
        <family val="2"/>
        <scheme val="minor"/>
      </rPr>
      <t>OPERATING ACCOUNT</t>
    </r>
    <r>
      <rPr>
        <sz val="11"/>
        <color theme="1"/>
        <rFont val="Aptos Narrow"/>
        <family val="2"/>
        <scheme val="minor"/>
      </rPr>
      <t xml:space="preserve"> Commercial TDA Outstanding</t>
    </r>
  </si>
  <si>
    <t>Product 3</t>
  </si>
  <si>
    <r>
      <t xml:space="preserve">Business IB TDA Outstanding Pooled Account </t>
    </r>
    <r>
      <rPr>
        <b/>
        <sz val="11"/>
        <color rgb="FFFF0000"/>
        <rFont val="Aptos Narrow"/>
        <family val="2"/>
        <scheme val="minor"/>
      </rPr>
      <t>(TDA)</t>
    </r>
  </si>
  <si>
    <r>
      <rPr>
        <b/>
        <sz val="11"/>
        <color rgb="FFFF0000"/>
        <rFont val="Aptos Narrow"/>
        <family val="2"/>
        <scheme val="minor"/>
      </rPr>
      <t>OPERATING ACCOUNT</t>
    </r>
    <r>
      <rPr>
        <sz val="11"/>
        <color theme="1"/>
        <rFont val="Aptos Narrow"/>
        <family val="2"/>
        <scheme val="minor"/>
      </rPr>
      <t xml:space="preserve"> Commercial IB TDA Outstanding</t>
    </r>
  </si>
  <si>
    <t>Product 4</t>
  </si>
  <si>
    <r>
      <t>TDA FI Business</t>
    </r>
    <r>
      <rPr>
        <b/>
        <sz val="11"/>
        <color rgb="FFFF0000"/>
        <rFont val="Aptos Narrow"/>
        <family val="2"/>
        <scheme val="minor"/>
      </rPr>
      <t xml:space="preserve"> (TDA)</t>
    </r>
  </si>
  <si>
    <t>OPERATING ACCOUNT</t>
  </si>
  <si>
    <t>Product 5</t>
  </si>
  <si>
    <r>
      <t xml:space="preserve">USD Reserve </t>
    </r>
    <r>
      <rPr>
        <b/>
        <sz val="11"/>
        <color theme="1"/>
        <rFont val="Aptos Narrow"/>
        <family val="2"/>
        <scheme val="minor"/>
      </rPr>
      <t>(DDA)</t>
    </r>
  </si>
  <si>
    <r>
      <rPr>
        <b/>
        <sz val="11"/>
        <color rgb="FFFF0000"/>
        <rFont val="Aptos Narrow"/>
        <family val="2"/>
        <scheme val="minor"/>
      </rPr>
      <t>OPERATING ACCOUNT</t>
    </r>
    <r>
      <rPr>
        <sz val="11"/>
        <color theme="1"/>
        <rFont val="Aptos Narrow"/>
        <family val="2"/>
        <scheme val="minor"/>
      </rPr>
      <t xml:space="preserve"> USD Reserve</t>
    </r>
  </si>
  <si>
    <t>Product 6</t>
  </si>
  <si>
    <r>
      <t xml:space="preserve">Personal IB TDA Outstanding Pooled Account </t>
    </r>
    <r>
      <rPr>
        <b/>
        <sz val="11"/>
        <color rgb="FFFF0000"/>
        <rFont val="Aptos Narrow"/>
        <family val="2"/>
        <scheme val="minor"/>
      </rPr>
      <t>(TDA)</t>
    </r>
  </si>
  <si>
    <r>
      <rPr>
        <b/>
        <sz val="11"/>
        <color rgb="FFFF0000"/>
        <rFont val="Aptos Narrow"/>
        <family val="2"/>
        <scheme val="minor"/>
      </rPr>
      <t>OPERATING ACCOUNT</t>
    </r>
    <r>
      <rPr>
        <sz val="11"/>
        <color theme="1"/>
        <rFont val="Aptos Narrow"/>
        <family val="2"/>
        <scheme val="minor"/>
      </rPr>
      <t xml:space="preserve"> Personal IB TDA Outstaning</t>
    </r>
  </si>
  <si>
    <t>Product 7</t>
  </si>
  <si>
    <r>
      <t xml:space="preserve">Personal TDA Outstanding Pooled Account </t>
    </r>
    <r>
      <rPr>
        <b/>
        <sz val="11"/>
        <color rgb="FFFF0000"/>
        <rFont val="Aptos Narrow"/>
        <family val="2"/>
        <scheme val="minor"/>
      </rPr>
      <t>(TDA)</t>
    </r>
  </si>
  <si>
    <r>
      <rPr>
        <b/>
        <sz val="11"/>
        <color rgb="FFFF0000"/>
        <rFont val="Aptos Narrow"/>
        <family val="2"/>
        <scheme val="minor"/>
      </rPr>
      <t>OPERATING ACCOUNT</t>
    </r>
    <r>
      <rPr>
        <sz val="11"/>
        <color theme="1"/>
        <rFont val="Aptos Narrow"/>
        <family val="2"/>
        <scheme val="minor"/>
      </rPr>
      <t xml:space="preserve"> Personal TDA Outstanding</t>
    </r>
  </si>
  <si>
    <t>Product 8</t>
  </si>
  <si>
    <r>
      <t xml:space="preserve">TD Commercial Non Interest Bearing Deposits </t>
    </r>
    <r>
      <rPr>
        <b/>
        <sz val="11"/>
        <color rgb="FFFF0000"/>
        <rFont val="Aptos Narrow"/>
        <family val="2"/>
        <scheme val="minor"/>
      </rPr>
      <t>(TDA)</t>
    </r>
  </si>
  <si>
    <t>Product Number</t>
  </si>
  <si>
    <t>PRODUCT 1-      OPERATING ACCOUNT</t>
  </si>
  <si>
    <t>PROGRAM REVENUE (DDA)</t>
  </si>
  <si>
    <t>No Limit</t>
  </si>
  <si>
    <t>PRODUCT 2- OPERATING ACCOUNT</t>
  </si>
  <si>
    <t>BUSINESS TDA OUTSTANDNIG POOLED ACCOUNT (TDA)</t>
  </si>
  <si>
    <t>PRODUCT 3-OPERATING ACCOUNT</t>
  </si>
  <si>
    <t>BUSINESS IB TDA OUTSTANDING POOLED ACCOUNT (TDA)</t>
  </si>
  <si>
    <t>PRODUCT 4- OPERATING ACCOUNT</t>
  </si>
  <si>
    <t>TDA FI BUSINESS (TDA)</t>
  </si>
  <si>
    <t>PRODUCT 5-OPERATING ACCOUNT</t>
  </si>
  <si>
    <t>USD RESERVE (DDA)</t>
  </si>
  <si>
    <t>PRODUCT 6-OPERATING ACCOUNT</t>
  </si>
  <si>
    <t>PERSONAL IB TDA OUTSTANDING POOLED ACCOUNT (TDA)</t>
  </si>
  <si>
    <t>PRODUCT 7-OPERATING ACCOUNT</t>
  </si>
  <si>
    <t>PERSONAL TDA OUTSTANDING POOLED ACCOUNT (TDA)</t>
  </si>
  <si>
    <t>PRODUCT 8-END USER ACCOUNT</t>
  </si>
  <si>
    <t>TD COMMERCIAL NON INTEREST BEARING DEPOSITS (TDA)</t>
  </si>
  <si>
    <t>Account Inactive Fee</t>
  </si>
  <si>
    <t>This fee is charged when an account goes Inactive, until it becomes Dormant</t>
  </si>
  <si>
    <t>Stop Payment Fee</t>
  </si>
  <si>
    <t>Fee Charged when a Stop Payment Request is generated through CSR</t>
  </si>
  <si>
    <t>FedNow Return Fee</t>
  </si>
  <si>
    <t>SYSTEM</t>
  </si>
  <si>
    <t>Implementation</t>
  </si>
  <si>
    <t>One TIme Implementation Fee that is run through our Admin Adjustment</t>
  </si>
  <si>
    <t>Admin Adjustment</t>
  </si>
  <si>
    <t>Platform</t>
  </si>
  <si>
    <t>Monthly Platform Fee the FinTech pays</t>
  </si>
  <si>
    <t>2</t>
  </si>
  <si>
    <t>3</t>
  </si>
  <si>
    <t>4</t>
  </si>
  <si>
    <t>5</t>
  </si>
  <si>
    <r>
      <rPr>
        <b/>
        <sz val="11"/>
        <color rgb="FFFF0000"/>
        <rFont val="Aptos Narrow"/>
        <family val="2"/>
        <scheme val="minor"/>
      </rPr>
      <t xml:space="preserve">END USER  </t>
    </r>
    <r>
      <rPr>
        <sz val="11"/>
        <color theme="1"/>
        <rFont val="Aptos Narrow"/>
        <family val="2"/>
        <scheme val="minor"/>
      </rPr>
      <t>TD Commercial Non Interest Bearing Deposits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</si>
</sst>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5" formatCode="&quot;$&quot;#,##0"/>
  </numFmts>
  <fonts count="24" x14ac:knownFonts="1">
    <font>
      <sz val="11"/>
      <color theme="1"/>
      <name val="Aptos Narrow"/>
      <family val="2"/>
      <scheme val="minor"/>
    </font>
    <font>
      <sz val="12"/>
      <color theme="0"/>
      <name val="Cordia New"/>
      <family val="2"/>
    </font>
    <font>
      <sz val="12"/>
      <color theme="1"/>
      <name val="Cordia New"/>
      <family val="2"/>
    </font>
    <font>
      <b/>
      <sz val="14"/>
      <color theme="0"/>
      <name val="Aptos Narrow"/>
      <family val="2"/>
      <scheme val="minor"/>
    </font>
    <font>
      <b/>
      <sz val="11"/>
      <color theme="0"/>
      <name val="Aptos Narrow"/>
      <family val="2"/>
      <scheme val="minor"/>
    </font>
    <font>
      <sz val="11"/>
      <color theme="1" tint="0.499984740745262"/>
      <name val="Aptos Narrow"/>
      <family val="2"/>
      <scheme val="minor"/>
    </font>
    <font>
      <sz val="11"/>
      <color rgb="FF000000"/>
      <name val="Aptos Narrow"/>
      <scheme val="minor"/>
    </font>
    <font>
      <sz val="11"/>
      <color rgb="FF000000"/>
      <name val="Aptos Narrow"/>
    </font>
    <font>
      <sz val="11"/>
      <color theme="1" tint="0.499984740745262"/>
      <name val="Aptos Narrow"/>
    </font>
    <font>
      <b/>
      <sz val="11"/>
      <color theme="1"/>
      <name val="Aptos Narrow"/>
      <family val="2"/>
      <scheme val="minor"/>
    </font>
    <font>
      <b/>
      <sz val="16"/>
      <color theme="0"/>
      <name val="Cordia New"/>
      <family val="2"/>
    </font>
    <font>
      <b/>
      <sz val="11"/>
      <color theme="5" tint="-0.249977111117893"/>
      <name val="Aptos Narrow"/>
      <family val="2"/>
      <scheme val="minor"/>
    </font>
    <font>
      <u/>
      <sz val="11"/>
      <color theme="10"/>
      <name val="Aptos Narrow"/>
      <family val="2"/>
      <scheme val="minor"/>
    </font>
    <font>
      <b/>
      <sz val="11"/>
      <color theme="5"/>
      <name val="Aptos Narrow"/>
      <family val="2"/>
      <scheme val="minor"/>
    </font>
    <font>
      <sz val="11"/>
      <color theme="5"/>
      <name val="Aptos Narrow"/>
      <family val="2"/>
      <scheme val="minor"/>
    </font>
    <font>
      <b/>
      <sz val="16"/>
      <color theme="3"/>
      <name val="Aptos"/>
      <family val="2"/>
    </font>
    <font>
      <sz val="11"/>
      <color rgb="FF000000"/>
      <name val="Aptos"/>
      <family val="2"/>
    </font>
    <font>
      <sz val="11"/>
      <color theme="0"/>
      <name val="Aptos"/>
      <family val="2"/>
    </font>
    <font>
      <sz val="11"/>
      <name val="Aptos"/>
      <family val="2"/>
    </font>
    <font>
      <sz val="11"/>
      <color rgb="FFFF0000"/>
      <name val="Aptos"/>
      <family val="2"/>
    </font>
    <font>
      <sz val="11"/>
      <color theme="1"/>
      <name val="Aptos"/>
      <family val="2"/>
    </font>
    <font>
      <b/>
      <sz val="11"/>
      <color theme="5"/>
      <name val="Aptos Narrow"/>
    </font>
    <font>
      <b/>
      <sz val="11"/>
      <color theme="0"/>
      <name val="Aptos Narrow"/>
      <scheme val="minor"/>
    </font>
    <font>
      <b/>
      <sz val="11"/>
      <color rgb="FFFF0000"/>
      <name val="Aptos Narrow"/>
      <family val="2"/>
      <scheme val="minor"/>
    </font>
  </fonts>
  <fills count="15">
    <fill>
      <patternFill patternType="none"/>
    </fill>
    <fill>
      <patternFill patternType="gray125"/>
    </fill>
    <fill>
      <patternFill patternType="solid">
        <fgColor rgb="FF0070C0"/>
        <bgColor indexed="64"/>
      </patternFill>
    </fill>
    <fill>
      <patternFill patternType="solid">
        <fgColor rgb="FF002060"/>
        <bgColor indexed="64"/>
      </patternFill>
    </fill>
    <fill>
      <patternFill patternType="solid">
        <fgColor theme="1"/>
        <bgColor indexed="64"/>
      </patternFill>
    </fill>
    <fill>
      <patternFill patternType="solid">
        <fgColor theme="3"/>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4" tint="0.79998168889431442"/>
        <bgColor indexed="64"/>
      </patternFill>
    </fill>
    <fill>
      <patternFill patternType="solid">
        <fgColor theme="4"/>
        <bgColor indexed="64"/>
      </patternFill>
    </fill>
    <fill>
      <patternFill patternType="solid">
        <fgColor theme="5"/>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499984740745262"/>
        <bgColor indexed="64"/>
      </patternFill>
    </fill>
    <fill>
      <patternFill patternType="solid">
        <fgColor theme="0" tint="-0.14999847407452621"/>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top style="thin">
        <color rgb="FF000000"/>
      </top>
      <bottom/>
      <diagonal/>
    </border>
    <border>
      <left style="medium">
        <color rgb="FF000000"/>
      </left>
      <right style="medium">
        <color rgb="FF000000"/>
      </right>
      <top style="thin">
        <color rgb="FF000000"/>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rgb="FF000000"/>
      </right>
      <top style="medium">
        <color rgb="FF000000"/>
      </top>
      <bottom/>
      <diagonal/>
    </border>
    <border>
      <left/>
      <right style="thin">
        <color rgb="FF000000"/>
      </right>
      <top/>
      <bottom/>
      <diagonal/>
    </border>
    <border>
      <left/>
      <right style="thin">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thin">
        <color rgb="FF000000"/>
      </left>
      <right style="medium">
        <color rgb="FF000000"/>
      </right>
      <top/>
      <bottom style="medium">
        <color rgb="FF000000"/>
      </bottom>
      <diagonal/>
    </border>
    <border>
      <left style="thin">
        <color rgb="FF000000"/>
      </left>
      <right style="thin">
        <color rgb="FF000000"/>
      </right>
      <top/>
      <bottom style="thin">
        <color indexed="64"/>
      </bottom>
      <diagonal/>
    </border>
    <border>
      <left style="medium">
        <color indexed="64"/>
      </left>
      <right style="thin">
        <color indexed="64"/>
      </right>
      <top style="medium">
        <color indexed="64"/>
      </top>
      <bottom style="thin">
        <color indexed="64"/>
      </bottom>
      <diagonal/>
    </border>
    <border>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right style="thin">
        <color rgb="FF000000"/>
      </right>
      <top style="medium">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bottom style="thin">
        <color rgb="FF000000"/>
      </bottom>
      <diagonal/>
    </border>
    <border>
      <left/>
      <right style="thin">
        <color rgb="FF000000"/>
      </right>
      <top/>
      <bottom style="medium">
        <color indexed="64"/>
      </bottom>
      <diagonal/>
    </border>
    <border>
      <left/>
      <right style="thin">
        <color rgb="FF000000"/>
      </right>
      <top style="thin">
        <color rgb="FF000000"/>
      </top>
      <bottom style="medium">
        <color indexed="64"/>
      </bottom>
      <diagonal/>
    </border>
  </borders>
  <cellStyleXfs count="2">
    <xf numFmtId="0" fontId="0" fillId="0" borderId="0"/>
    <xf numFmtId="0" fontId="12" fillId="0" borderId="0" applyNumberFormat="0" applyFill="0" applyBorder="0" applyAlignment="0" applyProtection="0"/>
  </cellStyleXfs>
  <cellXfs count="236">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2" fillId="0" borderId="2" xfId="0" applyFont="1" applyBorder="1" applyAlignment="1">
      <alignment horizontal="left" vertical="center" wrapText="1"/>
    </xf>
    <xf numFmtId="0" fontId="4" fillId="5" borderId="4" xfId="0" applyFont="1" applyFill="1" applyBorder="1"/>
    <xf numFmtId="0" fontId="4" fillId="5" borderId="4" xfId="0" applyFont="1" applyFill="1" applyBorder="1" applyAlignment="1">
      <alignment horizontal="center"/>
    </xf>
    <xf numFmtId="0" fontId="0" fillId="0" borderId="4" xfId="0" applyBorder="1"/>
    <xf numFmtId="0" fontId="5" fillId="0" borderId="4" xfId="0" applyFont="1" applyBorder="1"/>
    <xf numFmtId="0" fontId="6" fillId="0" borderId="4" xfId="0" applyFont="1" applyBorder="1"/>
    <xf numFmtId="0" fontId="0" fillId="0" borderId="4" xfId="0" applyBorder="1" applyAlignment="1">
      <alignment wrapText="1"/>
    </xf>
    <xf numFmtId="0" fontId="7" fillId="0" borderId="4" xfId="0" applyFont="1" applyBorder="1"/>
    <xf numFmtId="0" fontId="5" fillId="6" borderId="4" xfId="0" applyFont="1" applyFill="1" applyBorder="1"/>
    <xf numFmtId="0" fontId="0" fillId="6" borderId="4" xfId="0" applyFill="1" applyBorder="1"/>
    <xf numFmtId="0" fontId="6" fillId="6" borderId="4" xfId="0" applyFont="1" applyFill="1" applyBorder="1"/>
    <xf numFmtId="0" fontId="0" fillId="6" borderId="4" xfId="0" applyFill="1" applyBorder="1" applyAlignment="1">
      <alignment wrapText="1"/>
    </xf>
    <xf numFmtId="0" fontId="7" fillId="6" borderId="4" xfId="0" applyFont="1" applyFill="1" applyBorder="1"/>
    <xf numFmtId="0" fontId="9" fillId="0" borderId="5" xfId="0" applyFont="1" applyBorder="1"/>
    <xf numFmtId="49" fontId="9" fillId="0" borderId="5" xfId="0" applyNumberFormat="1" applyFont="1" applyBorder="1"/>
    <xf numFmtId="0" fontId="5" fillId="7" borderId="4" xfId="0" applyFont="1" applyFill="1" applyBorder="1"/>
    <xf numFmtId="0" fontId="8" fillId="7" borderId="4" xfId="0" applyFont="1" applyFill="1" applyBorder="1"/>
    <xf numFmtId="0" fontId="0" fillId="7" borderId="4" xfId="0" applyFill="1" applyBorder="1"/>
    <xf numFmtId="0" fontId="6" fillId="7" borderId="4" xfId="0" applyFont="1" applyFill="1" applyBorder="1"/>
    <xf numFmtId="0" fontId="0" fillId="7" borderId="4" xfId="0" applyFill="1" applyBorder="1" applyAlignment="1">
      <alignment wrapText="1"/>
    </xf>
    <xf numFmtId="0" fontId="0" fillId="7" borderId="0" xfId="0" applyFill="1"/>
    <xf numFmtId="0" fontId="0" fillId="6" borderId="0" xfId="0" applyFill="1"/>
    <xf numFmtId="0" fontId="0" fillId="0" borderId="5" xfId="0" applyBorder="1"/>
    <xf numFmtId="0" fontId="0" fillId="0" borderId="7" xfId="0" applyBorder="1"/>
    <xf numFmtId="0" fontId="4" fillId="5" borderId="8" xfId="0" applyFont="1" applyFill="1" applyBorder="1" applyAlignment="1">
      <alignment horizontal="center"/>
    </xf>
    <xf numFmtId="0" fontId="4" fillId="9" borderId="4" xfId="0" applyFont="1" applyFill="1" applyBorder="1" applyAlignment="1">
      <alignment horizontal="center"/>
    </xf>
    <xf numFmtId="0" fontId="4" fillId="9" borderId="8" xfId="0" applyFont="1" applyFill="1" applyBorder="1" applyAlignment="1">
      <alignment horizontal="center"/>
    </xf>
    <xf numFmtId="0" fontId="4" fillId="10" borderId="19" xfId="0" applyFont="1" applyFill="1" applyBorder="1" applyAlignment="1">
      <alignment horizontal="center"/>
    </xf>
    <xf numFmtId="0" fontId="4" fillId="10" borderId="5" xfId="0" applyFont="1" applyFill="1" applyBorder="1" applyAlignment="1">
      <alignment horizontal="center"/>
    </xf>
    <xf numFmtId="0" fontId="4" fillId="10" borderId="20" xfId="0" applyFont="1" applyFill="1" applyBorder="1" applyAlignment="1">
      <alignment horizontal="center"/>
    </xf>
    <xf numFmtId="0" fontId="0" fillId="6" borderId="9" xfId="0" applyFill="1" applyBorder="1"/>
    <xf numFmtId="0" fontId="0" fillId="6" borderId="10" xfId="0" applyFill="1" applyBorder="1"/>
    <xf numFmtId="0" fontId="0" fillId="6" borderId="10" xfId="0" applyFill="1" applyBorder="1" applyAlignment="1">
      <alignment horizontal="center"/>
    </xf>
    <xf numFmtId="0" fontId="0" fillId="6" borderId="11" xfId="0" applyFill="1" applyBorder="1"/>
    <xf numFmtId="0" fontId="0" fillId="6" borderId="12" xfId="0" applyFill="1" applyBorder="1"/>
    <xf numFmtId="0" fontId="0" fillId="6" borderId="4" xfId="0" applyFill="1" applyBorder="1" applyAlignment="1">
      <alignment horizontal="center"/>
    </xf>
    <xf numFmtId="0" fontId="0" fillId="6" borderId="13" xfId="0" applyFill="1" applyBorder="1"/>
    <xf numFmtId="0" fontId="0" fillId="6" borderId="19" xfId="0" applyFill="1" applyBorder="1"/>
    <xf numFmtId="0" fontId="0" fillId="6" borderId="5" xfId="0" applyFill="1" applyBorder="1"/>
    <xf numFmtId="0" fontId="0" fillId="6" borderId="5" xfId="0" applyFill="1" applyBorder="1" applyAlignment="1">
      <alignment horizontal="center"/>
    </xf>
    <xf numFmtId="0" fontId="0" fillId="6" borderId="20" xfId="0" applyFill="1" applyBorder="1"/>
    <xf numFmtId="0" fontId="0" fillId="6" borderId="14" xfId="0" applyFill="1" applyBorder="1"/>
    <xf numFmtId="0" fontId="0" fillId="6" borderId="15" xfId="0" applyFill="1" applyBorder="1"/>
    <xf numFmtId="0" fontId="0" fillId="6" borderId="15" xfId="0" applyFill="1" applyBorder="1" applyAlignment="1">
      <alignment horizontal="center"/>
    </xf>
    <xf numFmtId="0" fontId="0" fillId="6" borderId="16" xfId="0" applyFill="1" applyBorder="1"/>
    <xf numFmtId="0" fontId="4" fillId="11" borderId="22" xfId="0" applyFont="1" applyFill="1" applyBorder="1" applyAlignment="1">
      <alignment horizontal="center"/>
    </xf>
    <xf numFmtId="0" fontId="4" fillId="9" borderId="7" xfId="0" applyFont="1" applyFill="1" applyBorder="1" applyAlignment="1">
      <alignment horizontal="center"/>
    </xf>
    <xf numFmtId="0" fontId="10" fillId="3" borderId="1" xfId="0" applyFont="1" applyFill="1" applyBorder="1" applyAlignment="1">
      <alignment horizontal="center" vertical="top" wrapText="1"/>
    </xf>
    <xf numFmtId="0" fontId="4" fillId="5" borderId="9" xfId="0" applyFont="1" applyFill="1" applyBorder="1"/>
    <xf numFmtId="0" fontId="4" fillId="5" borderId="10" xfId="0" applyFont="1" applyFill="1" applyBorder="1"/>
    <xf numFmtId="0" fontId="0" fillId="0" borderId="28" xfId="0" applyBorder="1"/>
    <xf numFmtId="0" fontId="16" fillId="0" borderId="0" xfId="0" applyFont="1"/>
    <xf numFmtId="0" fontId="16" fillId="0" borderId="0" xfId="0" applyFont="1" applyAlignment="1">
      <alignment horizontal="left" vertical="top"/>
    </xf>
    <xf numFmtId="0" fontId="17" fillId="2" borderId="0" xfId="0" applyFont="1" applyFill="1" applyAlignment="1">
      <alignment vertical="center"/>
    </xf>
    <xf numFmtId="0" fontId="17" fillId="2" borderId="0" xfId="0" applyFont="1" applyFill="1" applyAlignment="1">
      <alignment horizontal="left" vertical="center"/>
    </xf>
    <xf numFmtId="0" fontId="16" fillId="0" borderId="6" xfId="0" applyFont="1" applyBorder="1" applyAlignment="1">
      <alignment horizontal="left" vertical="center"/>
    </xf>
    <xf numFmtId="0" fontId="16" fillId="0" borderId="4" xfId="0" applyFont="1" applyBorder="1" applyAlignment="1">
      <alignment vertical="center"/>
    </xf>
    <xf numFmtId="6" fontId="16" fillId="0" borderId="4" xfId="0" applyNumberFormat="1" applyFont="1" applyBorder="1" applyAlignment="1">
      <alignment horizontal="left" vertical="center"/>
    </xf>
    <xf numFmtId="0" fontId="16" fillId="0" borderId="0" xfId="0" applyFont="1" applyAlignment="1">
      <alignment vertical="center"/>
    </xf>
    <xf numFmtId="0" fontId="16" fillId="0" borderId="0" xfId="0" applyFont="1" applyAlignment="1">
      <alignment horizontal="left" vertical="center"/>
    </xf>
    <xf numFmtId="0" fontId="16" fillId="2" borderId="0" xfId="0" applyFont="1" applyFill="1" applyAlignment="1">
      <alignment horizontal="left" vertical="center"/>
    </xf>
    <xf numFmtId="0" fontId="16" fillId="2" borderId="0" xfId="0" applyFont="1" applyFill="1" applyAlignment="1">
      <alignment vertical="center"/>
    </xf>
    <xf numFmtId="0" fontId="17" fillId="2" borderId="36" xfId="0" applyFont="1" applyFill="1" applyBorder="1" applyAlignment="1">
      <alignment vertical="center"/>
    </xf>
    <xf numFmtId="0" fontId="17" fillId="2" borderId="34" xfId="0" applyFont="1" applyFill="1" applyBorder="1" applyAlignment="1">
      <alignment horizontal="left" vertical="center"/>
    </xf>
    <xf numFmtId="0" fontId="17" fillId="2" borderId="3" xfId="0" applyFont="1" applyFill="1" applyBorder="1" applyAlignment="1">
      <alignment vertical="center"/>
    </xf>
    <xf numFmtId="0" fontId="16" fillId="0" borderId="36" xfId="0" applyFont="1" applyBorder="1" applyAlignment="1">
      <alignment vertical="center"/>
    </xf>
    <xf numFmtId="0" fontId="12" fillId="0" borderId="37" xfId="1" applyBorder="1" applyAlignment="1">
      <alignment vertical="center"/>
    </xf>
    <xf numFmtId="0" fontId="12" fillId="0" borderId="3" xfId="1" applyBorder="1" applyAlignment="1">
      <alignment vertical="center"/>
    </xf>
    <xf numFmtId="0" fontId="16" fillId="0" borderId="36" xfId="0" applyFont="1" applyBorder="1"/>
    <xf numFmtId="0" fontId="16" fillId="0" borderId="34" xfId="0" applyFont="1" applyBorder="1" applyAlignment="1">
      <alignment horizontal="left" vertical="top"/>
    </xf>
    <xf numFmtId="0" fontId="12" fillId="0" borderId="3" xfId="1" applyBorder="1"/>
    <xf numFmtId="0" fontId="16" fillId="0" borderId="4" xfId="0" applyFont="1" applyBorder="1" applyAlignment="1">
      <alignment horizontal="left" vertical="center"/>
    </xf>
    <xf numFmtId="0" fontId="16" fillId="0" borderId="4" xfId="0" applyFont="1" applyBorder="1" applyAlignment="1">
      <alignment horizontal="left" vertical="center" wrapText="1"/>
    </xf>
    <xf numFmtId="0" fontId="0" fillId="0" borderId="4" xfId="0" applyBorder="1" applyAlignment="1">
      <alignment vertical="center"/>
    </xf>
    <xf numFmtId="0" fontId="16" fillId="0" borderId="4" xfId="0" applyFont="1" applyBorder="1" applyAlignment="1">
      <alignment vertical="center" wrapText="1"/>
    </xf>
    <xf numFmtId="0" fontId="16" fillId="0" borderId="0" xfId="0" applyFont="1" applyAlignment="1">
      <alignment vertical="center" wrapText="1"/>
    </xf>
    <xf numFmtId="6" fontId="16" fillId="0" borderId="0" xfId="0" applyNumberFormat="1" applyFont="1" applyAlignment="1">
      <alignment horizontal="left" vertical="center"/>
    </xf>
    <xf numFmtId="0" fontId="18" fillId="0" borderId="4" xfId="0" applyFont="1" applyBorder="1" applyAlignment="1">
      <alignment vertical="center"/>
    </xf>
    <xf numFmtId="0" fontId="18" fillId="0" borderId="4" xfId="0" applyFont="1" applyBorder="1" applyAlignment="1">
      <alignment horizontal="left" vertical="center" wrapText="1"/>
    </xf>
    <xf numFmtId="6" fontId="18" fillId="0" borderId="4" xfId="0" applyNumberFormat="1" applyFont="1" applyBorder="1" applyAlignment="1">
      <alignment horizontal="left" vertical="center"/>
    </xf>
    <xf numFmtId="0" fontId="18" fillId="0" borderId="4" xfId="0" applyFont="1" applyBorder="1" applyAlignment="1">
      <alignment horizontal="left" vertical="center"/>
    </xf>
    <xf numFmtId="0" fontId="20" fillId="0" borderId="4" xfId="0" applyFont="1" applyBorder="1" applyAlignment="1">
      <alignment vertical="center"/>
    </xf>
    <xf numFmtId="0" fontId="17" fillId="2" borderId="35" xfId="0" applyFont="1" applyFill="1" applyBorder="1" applyAlignment="1">
      <alignment vertical="center"/>
    </xf>
    <xf numFmtId="0" fontId="13" fillId="0" borderId="4" xfId="0" applyFont="1" applyBorder="1"/>
    <xf numFmtId="0" fontId="14" fillId="6" borderId="4" xfId="0" applyFont="1" applyFill="1" applyBorder="1"/>
    <xf numFmtId="0" fontId="13" fillId="7" borderId="4" xfId="0" applyFont="1" applyFill="1" applyBorder="1"/>
    <xf numFmtId="0" fontId="21" fillId="0" borderId="4" xfId="0" applyFont="1" applyBorder="1"/>
    <xf numFmtId="0" fontId="13" fillId="0" borderId="4" xfId="0" applyFont="1" applyBorder="1" applyAlignment="1">
      <alignment wrapText="1"/>
    </xf>
    <xf numFmtId="0" fontId="13" fillId="6" borderId="4" xfId="0" applyFont="1" applyFill="1" applyBorder="1"/>
    <xf numFmtId="0" fontId="13" fillId="6" borderId="4" xfId="0" applyFont="1" applyFill="1" applyBorder="1" applyAlignment="1">
      <alignment wrapText="1"/>
    </xf>
    <xf numFmtId="0" fontId="4" fillId="5" borderId="19" xfId="0" applyFont="1" applyFill="1" applyBorder="1"/>
    <xf numFmtId="0" fontId="4" fillId="5" borderId="5" xfId="0" applyFont="1" applyFill="1" applyBorder="1"/>
    <xf numFmtId="0" fontId="0" fillId="0" borderId="0" xfId="0" applyAlignment="1">
      <alignment wrapText="1"/>
    </xf>
    <xf numFmtId="0" fontId="22" fillId="5" borderId="0" xfId="0" applyFont="1" applyFill="1"/>
    <xf numFmtId="0" fontId="22" fillId="5" borderId="0" xfId="0" applyFont="1" applyFill="1" applyAlignment="1">
      <alignment wrapText="1"/>
    </xf>
    <xf numFmtId="0" fontId="0" fillId="0" borderId="1" xfId="0" applyBorder="1"/>
    <xf numFmtId="0" fontId="0" fillId="0" borderId="1" xfId="0" applyBorder="1" applyAlignment="1">
      <alignment wrapText="1"/>
    </xf>
    <xf numFmtId="0" fontId="0" fillId="7" borderId="1" xfId="0" applyFill="1" applyBorder="1"/>
    <xf numFmtId="0" fontId="0" fillId="7" borderId="1" xfId="0" applyFill="1" applyBorder="1" applyAlignment="1">
      <alignment wrapText="1"/>
    </xf>
    <xf numFmtId="0" fontId="0" fillId="7" borderId="5" xfId="0" applyFill="1" applyBorder="1"/>
    <xf numFmtId="0" fontId="3" fillId="4" borderId="3" xfId="0" applyFont="1" applyFill="1" applyBorder="1" applyAlignment="1">
      <alignment horizontal="left"/>
    </xf>
    <xf numFmtId="0" fontId="0" fillId="0" borderId="4" xfId="0" applyBorder="1" applyAlignment="1">
      <alignment horizontal="left" vertical="center"/>
    </xf>
    <xf numFmtId="0" fontId="0" fillId="0" borderId="4" xfId="0" applyBorder="1" applyAlignment="1">
      <alignment horizontal="center"/>
    </xf>
    <xf numFmtId="0" fontId="0" fillId="0" borderId="8" xfId="0" applyBorder="1" applyAlignment="1">
      <alignment horizontal="center"/>
    </xf>
    <xf numFmtId="0" fontId="0" fillId="12" borderId="22" xfId="0" applyFill="1" applyBorder="1" applyAlignment="1">
      <alignment horizontal="center"/>
    </xf>
    <xf numFmtId="0" fontId="0" fillId="8" borderId="7" xfId="0" applyFill="1" applyBorder="1" applyAlignment="1">
      <alignment horizontal="center"/>
    </xf>
    <xf numFmtId="0" fontId="0" fillId="0" borderId="5" xfId="0" applyBorder="1" applyAlignment="1">
      <alignment horizontal="center" vertical="center"/>
    </xf>
    <xf numFmtId="0" fontId="0" fillId="0" borderId="27" xfId="0" applyBorder="1" applyAlignment="1">
      <alignment horizontal="center" vertical="center"/>
    </xf>
    <xf numFmtId="0" fontId="0" fillId="0" borderId="26" xfId="0" applyBorder="1" applyAlignment="1">
      <alignment horizontal="center" vertical="center"/>
    </xf>
    <xf numFmtId="0" fontId="0" fillId="0" borderId="5" xfId="0" applyBorder="1" applyAlignment="1">
      <alignment horizontal="left" vertical="center"/>
    </xf>
    <xf numFmtId="0" fontId="0" fillId="0" borderId="5" xfId="0" applyBorder="1" applyAlignment="1">
      <alignment horizontal="center"/>
    </xf>
    <xf numFmtId="0" fontId="0" fillId="0" borderId="32" xfId="0" applyBorder="1" applyAlignment="1">
      <alignment horizontal="center"/>
    </xf>
    <xf numFmtId="0" fontId="0" fillId="12" borderId="21" xfId="0" applyFill="1" applyBorder="1" applyAlignment="1">
      <alignment horizontal="center"/>
    </xf>
    <xf numFmtId="0" fontId="0" fillId="12" borderId="23" xfId="0" applyFill="1" applyBorder="1" applyAlignment="1">
      <alignment horizontal="center"/>
    </xf>
    <xf numFmtId="0" fontId="0" fillId="8" borderId="24" xfId="0" applyFill="1" applyBorder="1" applyAlignment="1">
      <alignment horizontal="center"/>
    </xf>
    <xf numFmtId="0" fontId="0" fillId="8" borderId="25" xfId="0" applyFill="1" applyBorder="1" applyAlignment="1">
      <alignment horizontal="center"/>
    </xf>
    <xf numFmtId="0" fontId="0" fillId="8" borderId="4" xfId="0" applyFill="1" applyBorder="1" applyAlignment="1">
      <alignment horizontal="center"/>
    </xf>
    <xf numFmtId="0" fontId="0" fillId="8" borderId="8" xfId="0" applyFill="1" applyBorder="1" applyAlignment="1">
      <alignment horizontal="center"/>
    </xf>
    <xf numFmtId="0" fontId="0" fillId="12" borderId="33" xfId="0" applyFill="1" applyBorder="1" applyAlignment="1">
      <alignment horizontal="center"/>
    </xf>
    <xf numFmtId="0" fontId="0" fillId="8" borderId="28" xfId="0" applyFill="1" applyBorder="1" applyAlignment="1">
      <alignment horizontal="center"/>
    </xf>
    <xf numFmtId="0" fontId="0" fillId="8" borderId="10" xfId="0" applyFill="1" applyBorder="1" applyAlignment="1">
      <alignment horizontal="center"/>
    </xf>
    <xf numFmtId="0" fontId="0" fillId="8" borderId="15" xfId="0" applyFill="1" applyBorder="1" applyAlignment="1">
      <alignment horizontal="center"/>
    </xf>
    <xf numFmtId="0" fontId="0" fillId="8" borderId="17" xfId="0" applyFill="1" applyBorder="1" applyAlignment="1">
      <alignment horizontal="center"/>
    </xf>
    <xf numFmtId="0" fontId="0" fillId="8" borderId="18" xfId="0" applyFill="1" applyBorder="1" applyAlignment="1">
      <alignment horizontal="center"/>
    </xf>
    <xf numFmtId="0" fontId="0" fillId="8" borderId="5" xfId="0" applyFill="1" applyBorder="1" applyAlignment="1">
      <alignment horizontal="center"/>
    </xf>
    <xf numFmtId="0" fontId="0" fillId="0" borderId="10"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30" xfId="0" applyBorder="1" applyAlignment="1">
      <alignment horizontal="center" vertical="center"/>
    </xf>
    <xf numFmtId="0" fontId="0" fillId="0" borderId="31" xfId="0" applyBorder="1" applyAlignment="1">
      <alignment horizontal="center" vertical="center"/>
    </xf>
    <xf numFmtId="0" fontId="11" fillId="6" borderId="29" xfId="0" applyFont="1" applyFill="1" applyBorder="1" applyAlignment="1">
      <alignment horizontal="left"/>
    </xf>
    <xf numFmtId="0" fontId="3" fillId="4" borderId="3" xfId="0" applyFont="1" applyFill="1" applyBorder="1" applyAlignment="1">
      <alignment horizontal="left"/>
    </xf>
    <xf numFmtId="0" fontId="15" fillId="0" borderId="0" xfId="0" applyFont="1" applyAlignment="1">
      <alignment horizontal="center"/>
    </xf>
    <xf numFmtId="0" fontId="23" fillId="7" borderId="1" xfId="0" applyFont="1" applyFill="1" applyBorder="1"/>
    <xf numFmtId="0" fontId="23" fillId="7" borderId="4" xfId="0" applyFont="1" applyFill="1" applyBorder="1" applyAlignment="1">
      <alignment wrapText="1"/>
    </xf>
    <xf numFmtId="0" fontId="0" fillId="0" borderId="4" xfId="0" applyBorder="1" applyAlignment="1">
      <alignment horizontal="center" wrapText="1"/>
    </xf>
    <xf numFmtId="49" fontId="0" fillId="0" borderId="4" xfId="0" applyNumberFormat="1" applyBorder="1" applyAlignment="1">
      <alignment horizontal="center" wrapText="1"/>
    </xf>
    <xf numFmtId="49" fontId="0" fillId="0" borderId="5" xfId="0" applyNumberFormat="1" applyBorder="1" applyAlignment="1">
      <alignment horizontal="center" wrapText="1"/>
    </xf>
    <xf numFmtId="0" fontId="0" fillId="0" borderId="5" xfId="0" applyBorder="1" applyAlignment="1">
      <alignment horizontal="center" wrapText="1"/>
    </xf>
    <xf numFmtId="49" fontId="0" fillId="0" borderId="10" xfId="0" applyNumberFormat="1" applyBorder="1" applyAlignment="1">
      <alignment horizontal="center" wrapText="1"/>
    </xf>
    <xf numFmtId="0" fontId="0" fillId="0" borderId="10" xfId="0" applyBorder="1" applyAlignment="1">
      <alignment horizontal="center" wrapText="1"/>
    </xf>
    <xf numFmtId="49" fontId="0" fillId="0" borderId="15" xfId="0" applyNumberFormat="1" applyBorder="1" applyAlignment="1">
      <alignment horizontal="center" wrapText="1"/>
    </xf>
    <xf numFmtId="0" fontId="0" fillId="0" borderId="15" xfId="0" applyBorder="1" applyAlignment="1">
      <alignment horizontal="center" wrapText="1"/>
    </xf>
    <xf numFmtId="0" fontId="0" fillId="0" borderId="1" xfId="0" applyBorder="1" applyAlignment="1">
      <alignment horizontal="left"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4" fillId="5" borderId="4" xfId="0" applyFont="1" applyFill="1" applyBorder="1" applyAlignment="1">
      <alignment horizontal="center" wrapText="1"/>
    </xf>
    <xf numFmtId="0" fontId="23" fillId="0" borderId="10" xfId="0" applyFont="1" applyBorder="1" applyAlignment="1">
      <alignment horizontal="center" wrapText="1"/>
    </xf>
    <xf numFmtId="0" fontId="0" fillId="0" borderId="30" xfId="0" applyBorder="1" applyAlignment="1">
      <alignment horizontal="center" wrapText="1"/>
    </xf>
    <xf numFmtId="0" fontId="0" fillId="0" borderId="27" xfId="0" applyBorder="1" applyAlignment="1">
      <alignment horizontal="center" wrapText="1"/>
    </xf>
    <xf numFmtId="0" fontId="0" fillId="0" borderId="31" xfId="0" applyBorder="1" applyAlignment="1">
      <alignment horizontal="center" wrapText="1"/>
    </xf>
    <xf numFmtId="49" fontId="0" fillId="0" borderId="30" xfId="0" applyNumberFormat="1" applyBorder="1" applyAlignment="1">
      <alignment horizontal="center" wrapText="1"/>
    </xf>
    <xf numFmtId="49" fontId="0" fillId="0" borderId="27" xfId="0" applyNumberFormat="1" applyBorder="1" applyAlignment="1">
      <alignment horizontal="center" wrapText="1"/>
    </xf>
    <xf numFmtId="49" fontId="0" fillId="0" borderId="31" xfId="0" applyNumberFormat="1" applyBorder="1" applyAlignment="1">
      <alignment horizontal="center" wrapText="1"/>
    </xf>
    <xf numFmtId="0" fontId="0" fillId="0" borderId="30" xfId="0" applyBorder="1" applyAlignment="1">
      <alignment horizontal="center"/>
    </xf>
    <xf numFmtId="0" fontId="0" fillId="0" borderId="27" xfId="0" applyBorder="1" applyAlignment="1">
      <alignment horizontal="center"/>
    </xf>
    <xf numFmtId="0" fontId="0" fillId="0" borderId="31" xfId="0" applyBorder="1" applyAlignment="1">
      <alignment horizontal="center"/>
    </xf>
    <xf numFmtId="0" fontId="0" fillId="0" borderId="27" xfId="0" applyBorder="1" applyAlignment="1">
      <alignment horizontal="left" vertical="center"/>
    </xf>
    <xf numFmtId="0" fontId="0" fillId="0" borderId="26" xfId="0" applyBorder="1" applyAlignment="1">
      <alignment horizontal="left" vertical="center"/>
    </xf>
    <xf numFmtId="0" fontId="0" fillId="8" borderId="30" xfId="0" applyFill="1" applyBorder="1" applyAlignment="1">
      <alignment horizontal="center"/>
    </xf>
    <xf numFmtId="0" fontId="0" fillId="8" borderId="27" xfId="0" applyFill="1" applyBorder="1" applyAlignment="1">
      <alignment horizontal="center"/>
    </xf>
    <xf numFmtId="0" fontId="0" fillId="8" borderId="31" xfId="0" applyFill="1" applyBorder="1" applyAlignment="1">
      <alignment horizontal="center"/>
    </xf>
    <xf numFmtId="0" fontId="0" fillId="8" borderId="41" xfId="0" applyFill="1" applyBorder="1" applyAlignment="1">
      <alignment horizontal="center"/>
    </xf>
    <xf numFmtId="0" fontId="0" fillId="8" borderId="42" xfId="0" applyFill="1" applyBorder="1" applyAlignment="1">
      <alignment horizontal="center"/>
    </xf>
    <xf numFmtId="0" fontId="0" fillId="8" borderId="43" xfId="0" applyFill="1" applyBorder="1" applyAlignment="1">
      <alignment horizontal="center"/>
    </xf>
    <xf numFmtId="0" fontId="0" fillId="12" borderId="44" xfId="0" applyFill="1" applyBorder="1" applyAlignment="1">
      <alignment horizontal="center"/>
    </xf>
    <xf numFmtId="0" fontId="0" fillId="12" borderId="45" xfId="0" applyFill="1" applyBorder="1" applyAlignment="1">
      <alignment horizontal="center"/>
    </xf>
    <xf numFmtId="0" fontId="0" fillId="12" borderId="46" xfId="0" applyFill="1"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0" fillId="0" borderId="49" xfId="0" applyBorder="1" applyAlignment="1">
      <alignment horizontal="center"/>
    </xf>
    <xf numFmtId="0" fontId="0" fillId="8" borderId="47" xfId="0" applyFill="1" applyBorder="1" applyAlignment="1">
      <alignment horizontal="center"/>
    </xf>
    <xf numFmtId="0" fontId="0" fillId="8" borderId="48" xfId="0" applyFill="1" applyBorder="1" applyAlignment="1">
      <alignment horizontal="center"/>
    </xf>
    <xf numFmtId="0" fontId="0" fillId="8" borderId="49" xfId="0" applyFill="1" applyBorder="1" applyAlignment="1">
      <alignment horizontal="center"/>
    </xf>
    <xf numFmtId="0" fontId="0" fillId="0" borderId="50" xfId="0" applyBorder="1" applyAlignment="1">
      <alignment horizontal="left" vertical="center"/>
    </xf>
    <xf numFmtId="0" fontId="4" fillId="13" borderId="0" xfId="0" applyFont="1" applyFill="1"/>
    <xf numFmtId="0" fontId="4" fillId="13" borderId="10" xfId="0" applyFont="1" applyFill="1" applyBorder="1" applyAlignment="1">
      <alignment horizontal="center"/>
    </xf>
    <xf numFmtId="0" fontId="4" fillId="13" borderId="10" xfId="0" applyFont="1" applyFill="1" applyBorder="1" applyAlignment="1">
      <alignment horizontal="center"/>
    </xf>
    <xf numFmtId="0" fontId="4" fillId="13" borderId="11" xfId="0" applyFont="1" applyFill="1" applyBorder="1" applyAlignment="1">
      <alignment horizontal="center"/>
    </xf>
    <xf numFmtId="0" fontId="4" fillId="13" borderId="5" xfId="0" applyFont="1" applyFill="1" applyBorder="1" applyAlignment="1">
      <alignment horizontal="center"/>
    </xf>
    <xf numFmtId="0" fontId="4" fillId="13" borderId="20" xfId="0" applyFont="1" applyFill="1" applyBorder="1" applyAlignment="1">
      <alignment horizontal="center"/>
    </xf>
    <xf numFmtId="0" fontId="0" fillId="14" borderId="51" xfId="0" applyFill="1" applyBorder="1" applyAlignment="1">
      <alignment horizontal="center" wrapText="1"/>
    </xf>
    <xf numFmtId="49" fontId="0" fillId="14" borderId="52" xfId="0" applyNumberFormat="1" applyFill="1" applyBorder="1" applyAlignment="1">
      <alignment horizontal="center"/>
    </xf>
    <xf numFmtId="0" fontId="0" fillId="14" borderId="53" xfId="0" applyFill="1" applyBorder="1"/>
    <xf numFmtId="165" fontId="0" fillId="14" borderId="54" xfId="0" applyNumberFormat="1" applyFill="1" applyBorder="1" applyAlignment="1">
      <alignment horizontal="center"/>
    </xf>
    <xf numFmtId="165" fontId="0" fillId="14" borderId="55" xfId="0" applyNumberFormat="1" applyFill="1" applyBorder="1" applyAlignment="1">
      <alignment horizontal="center"/>
    </xf>
    <xf numFmtId="0" fontId="0" fillId="14" borderId="56" xfId="0" applyFill="1" applyBorder="1" applyAlignment="1">
      <alignment horizontal="center"/>
    </xf>
    <xf numFmtId="49" fontId="0" fillId="14" borderId="24" xfId="0" applyNumberFormat="1" applyFill="1" applyBorder="1" applyAlignment="1">
      <alignment horizontal="center"/>
    </xf>
    <xf numFmtId="0" fontId="0" fillId="14" borderId="8" xfId="0" applyFill="1" applyBorder="1"/>
    <xf numFmtId="165" fontId="0" fillId="14" borderId="4" xfId="0" applyNumberFormat="1" applyFill="1" applyBorder="1" applyAlignment="1">
      <alignment horizontal="center"/>
    </xf>
    <xf numFmtId="165" fontId="0" fillId="14" borderId="57" xfId="0" applyNumberFormat="1" applyFill="1" applyBorder="1" applyAlignment="1">
      <alignment horizontal="center"/>
    </xf>
    <xf numFmtId="0" fontId="0" fillId="14" borderId="58" xfId="0" applyFill="1" applyBorder="1" applyAlignment="1">
      <alignment horizontal="center"/>
    </xf>
    <xf numFmtId="49" fontId="0" fillId="14" borderId="59" xfId="0" applyNumberFormat="1" applyFill="1" applyBorder="1" applyAlignment="1">
      <alignment horizontal="center"/>
    </xf>
    <xf numFmtId="0" fontId="0" fillId="14" borderId="60" xfId="0" applyFill="1" applyBorder="1"/>
    <xf numFmtId="165" fontId="0" fillId="14" borderId="61" xfId="0" applyNumberFormat="1" applyFill="1" applyBorder="1" applyAlignment="1">
      <alignment horizontal="center"/>
    </xf>
    <xf numFmtId="165" fontId="0" fillId="14" borderId="62" xfId="0" applyNumberFormat="1" applyFill="1" applyBorder="1" applyAlignment="1">
      <alignment horizontal="center"/>
    </xf>
    <xf numFmtId="0" fontId="0" fillId="0" borderId="51" xfId="0" applyBorder="1" applyAlignment="1">
      <alignment horizontal="center" wrapText="1"/>
    </xf>
    <xf numFmtId="49" fontId="0" fillId="0" borderId="52" xfId="0" applyNumberFormat="1" applyBorder="1" applyAlignment="1">
      <alignment horizontal="center" wrapText="1"/>
    </xf>
    <xf numFmtId="0" fontId="0" fillId="0" borderId="54" xfId="0" applyBorder="1"/>
    <xf numFmtId="165" fontId="0" fillId="0" borderId="54" xfId="0" applyNumberFormat="1" applyBorder="1" applyAlignment="1">
      <alignment horizontal="center"/>
    </xf>
    <xf numFmtId="165" fontId="0" fillId="0" borderId="55" xfId="0" applyNumberFormat="1" applyBorder="1" applyAlignment="1">
      <alignment horizontal="center"/>
    </xf>
    <xf numFmtId="0" fontId="0" fillId="0" borderId="56" xfId="0" applyBorder="1" applyAlignment="1">
      <alignment horizontal="center"/>
    </xf>
    <xf numFmtId="49" fontId="0" fillId="0" borderId="63" xfId="0" applyNumberFormat="1" applyBorder="1" applyAlignment="1">
      <alignment horizontal="center" wrapText="1"/>
    </xf>
    <xf numFmtId="165" fontId="0" fillId="0" borderId="4" xfId="0" applyNumberFormat="1" applyBorder="1" applyAlignment="1">
      <alignment horizontal="center"/>
    </xf>
    <xf numFmtId="165" fontId="0" fillId="0" borderId="57" xfId="0" applyNumberFormat="1" applyBorder="1" applyAlignment="1">
      <alignment horizontal="center"/>
    </xf>
    <xf numFmtId="0" fontId="0" fillId="0" borderId="58" xfId="0" applyBorder="1" applyAlignment="1">
      <alignment horizontal="center"/>
    </xf>
    <xf numFmtId="49" fontId="0" fillId="0" borderId="64" xfId="0" applyNumberFormat="1" applyBorder="1" applyAlignment="1">
      <alignment horizontal="center" wrapText="1"/>
    </xf>
    <xf numFmtId="0" fontId="0" fillId="0" borderId="61" xfId="0" applyBorder="1"/>
    <xf numFmtId="165" fontId="0" fillId="0" borderId="61" xfId="0" applyNumberFormat="1" applyBorder="1" applyAlignment="1">
      <alignment horizontal="center"/>
    </xf>
    <xf numFmtId="165" fontId="0" fillId="0" borderId="62" xfId="0" applyNumberFormat="1" applyBorder="1" applyAlignment="1">
      <alignment horizontal="center"/>
    </xf>
    <xf numFmtId="49" fontId="0" fillId="14" borderId="52" xfId="0" applyNumberFormat="1" applyFill="1" applyBorder="1" applyAlignment="1">
      <alignment horizontal="center" wrapText="1"/>
    </xf>
    <xf numFmtId="0" fontId="0" fillId="14" borderId="54" xfId="0" applyFill="1" applyBorder="1"/>
    <xf numFmtId="49" fontId="0" fillId="14" borderId="24" xfId="0" applyNumberFormat="1" applyFill="1" applyBorder="1" applyAlignment="1">
      <alignment horizontal="center" wrapText="1"/>
    </xf>
    <xf numFmtId="0" fontId="0" fillId="14" borderId="4" xfId="0" applyFill="1" applyBorder="1"/>
    <xf numFmtId="49" fontId="0" fillId="14" borderId="59" xfId="0" applyNumberFormat="1" applyFill="1" applyBorder="1" applyAlignment="1">
      <alignment horizontal="center" wrapText="1"/>
    </xf>
    <xf numFmtId="0" fontId="0" fillId="14" borderId="61" xfId="0" applyFill="1" applyBorder="1"/>
    <xf numFmtId="49" fontId="0" fillId="0" borderId="52" xfId="0" applyNumberFormat="1" applyBorder="1" applyAlignment="1">
      <alignment horizontal="center"/>
    </xf>
    <xf numFmtId="49" fontId="0" fillId="0" borderId="24" xfId="0" applyNumberFormat="1" applyBorder="1" applyAlignment="1">
      <alignment horizontal="center"/>
    </xf>
    <xf numFmtId="49" fontId="0" fillId="0" borderId="59" xfId="0" applyNumberFormat="1" applyBorder="1" applyAlignment="1">
      <alignment horizontal="center"/>
    </xf>
    <xf numFmtId="49" fontId="0" fillId="14" borderId="7" xfId="0" applyNumberFormat="1" applyFill="1" applyBorder="1" applyAlignment="1">
      <alignment horizontal="center"/>
    </xf>
    <xf numFmtId="49" fontId="0" fillId="14" borderId="65" xfId="0" applyNumberFormat="1" applyFill="1" applyBorder="1" applyAlignment="1">
      <alignment horizontal="center"/>
    </xf>
    <xf numFmtId="49" fontId="0" fillId="0" borderId="24" xfId="0" applyNumberFormat="1" applyBorder="1" applyAlignment="1">
      <alignment horizontal="center" wrapText="1"/>
    </xf>
    <xf numFmtId="49" fontId="0" fillId="0" borderId="59" xfId="0" applyNumberFormat="1" applyBorder="1" applyAlignment="1">
      <alignment horizontal="center" wrapText="1"/>
    </xf>
    <xf numFmtId="49" fontId="3" fillId="4" borderId="3" xfId="0" applyNumberFormat="1" applyFont="1" applyFill="1" applyBorder="1" applyAlignment="1">
      <alignment horizontal="left"/>
    </xf>
    <xf numFmtId="49" fontId="3" fillId="4" borderId="3" xfId="0" applyNumberFormat="1" applyFont="1" applyFill="1" applyBorder="1"/>
    <xf numFmtId="0" fontId="2" fillId="0" borderId="0" xfId="0" applyFont="1" applyAlignment="1">
      <alignment horizontal="center" vertical="top" wrapText="1"/>
    </xf>
    <xf numFmtId="0" fontId="2"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0</xdr:colOff>
      <xdr:row>30</xdr:row>
      <xdr:rowOff>0</xdr:rowOff>
    </xdr:from>
    <xdr:to>
      <xdr:col>3</xdr:col>
      <xdr:colOff>1035050</xdr:colOff>
      <xdr:row>37</xdr:row>
      <xdr:rowOff>39688</xdr:rowOff>
    </xdr:to>
    <xdr:sp macro="" textlink="">
      <xdr:nvSpPr>
        <xdr:cNvPr id="2" name="TextBox 1">
          <a:extLst>
            <a:ext uri="{FF2B5EF4-FFF2-40B4-BE49-F238E27FC236}">
              <a16:creationId xmlns:a16="http://schemas.microsoft.com/office/drawing/2014/main" id="{99E92B5B-0DB9-40C0-A1DC-9414B9A20CD0}"/>
            </a:ext>
          </a:extLst>
        </xdr:cNvPr>
        <xdr:cNvSpPr txBox="1"/>
      </xdr:nvSpPr>
      <xdr:spPr>
        <a:xfrm>
          <a:off x="1063625" y="3881438"/>
          <a:ext cx="2908300" cy="13176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Products 3, 6, and 7 removed since they won't be needed. If</a:t>
          </a:r>
          <a:r>
            <a:rPr lang="en-US" sz="1800" baseline="0"/>
            <a:t> easier to copy from Xrioo, they can be kept though.</a:t>
          </a:r>
          <a:endParaRPr lang="en-US" sz="1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1730375</xdr:colOff>
      <xdr:row>7</xdr:row>
      <xdr:rowOff>171450</xdr:rowOff>
    </xdr:from>
    <xdr:to>
      <xdr:col>3</xdr:col>
      <xdr:colOff>628650</xdr:colOff>
      <xdr:row>10</xdr:row>
      <xdr:rowOff>0</xdr:rowOff>
    </xdr:to>
    <xdr:sp macro="" textlink="">
      <xdr:nvSpPr>
        <xdr:cNvPr id="2" name="TextBox 1">
          <a:extLst>
            <a:ext uri="{FF2B5EF4-FFF2-40B4-BE49-F238E27FC236}">
              <a16:creationId xmlns:a16="http://schemas.microsoft.com/office/drawing/2014/main" id="{2F358EF1-B684-AEFE-9BD6-F63FF2FC3917}"/>
            </a:ext>
          </a:extLst>
        </xdr:cNvPr>
        <xdr:cNvSpPr txBox="1"/>
      </xdr:nvSpPr>
      <xdr:spPr>
        <a:xfrm>
          <a:off x="3854450" y="3105150"/>
          <a:ext cx="2317750" cy="12287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Fees can be excluded</a:t>
          </a:r>
          <a:r>
            <a:rPr lang="en-US" sz="1800" baseline="0"/>
            <a:t> for now during Pilot with TransPecos.</a:t>
          </a:r>
          <a:endParaRPr lang="en-US" sz="18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7</xdr:row>
      <xdr:rowOff>0</xdr:rowOff>
    </xdr:from>
    <xdr:to>
      <xdr:col>1</xdr:col>
      <xdr:colOff>2311400</xdr:colOff>
      <xdr:row>11</xdr:row>
      <xdr:rowOff>504825</xdr:rowOff>
    </xdr:to>
    <xdr:sp macro="" textlink="">
      <xdr:nvSpPr>
        <xdr:cNvPr id="3" name="TextBox 2">
          <a:extLst>
            <a:ext uri="{FF2B5EF4-FFF2-40B4-BE49-F238E27FC236}">
              <a16:creationId xmlns:a16="http://schemas.microsoft.com/office/drawing/2014/main" id="{6CA29224-0B08-4944-A412-D1CCD26BD423}"/>
            </a:ext>
          </a:extLst>
        </xdr:cNvPr>
        <xdr:cNvSpPr txBox="1"/>
      </xdr:nvSpPr>
      <xdr:spPr>
        <a:xfrm>
          <a:off x="6772275" y="1352550"/>
          <a:ext cx="2311400" cy="122872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Tenant will not use cards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p1161\AppData\Local\Microsoft\Windows\INetCache\Content.Outlook\GJTL8MPA\052226-FROM%20ALY%20Vantage%20BaaS%20Sandbox%20Onboarding.xlsx" TargetMode="External"/><Relationship Id="rId1" Type="http://schemas.openxmlformats.org/officeDocument/2006/relationships/externalLinkPath" Target="file:///C:\Users\dp1161\AppData\Local\Microsoft\Windows\INetCache\Content.Outlook\GJTL8MPA\052226-FROM%20ALY%20Vantage%20BaaS%20Sandbox%20Onboard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liance"/>
      <sheetName val="Tenant Config"/>
      <sheetName val="Product Questions"/>
      <sheetName val="Product Type Configuration"/>
      <sheetName val="Limits"/>
      <sheetName val="Fees"/>
      <sheetName val="Operating Accounts"/>
    </sheetNames>
    <sheetDataSet>
      <sheetData sheetId="0" refreshError="1"/>
      <sheetData sheetId="1" refreshError="1"/>
      <sheetData sheetId="2" refreshError="1"/>
      <sheetData sheetId="3" refreshError="1">
        <row r="3">
          <cell r="D3" t="str">
            <v>SAVINGS PERSONAL-FINTECH</v>
          </cell>
        </row>
        <row r="6">
          <cell r="D6" t="str">
            <v>PERSONAL IB-FINTECH</v>
          </cell>
        </row>
        <row r="9">
          <cell r="D9" t="str">
            <v>PERSONAL NIB-FINTECH</v>
          </cell>
        </row>
        <row r="12">
          <cell r="E12" t="str">
            <v>Commercial IB Checking</v>
          </cell>
        </row>
        <row r="15">
          <cell r="D15" t="str">
            <v>SAVINGS COMMERCIAL-FINTECH</v>
          </cell>
        </row>
      </sheetData>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tabSelected="1" zoomScale="140" zoomScaleNormal="140" workbookViewId="0">
      <selection activeCell="B12" sqref="B12"/>
    </sheetView>
  </sheetViews>
  <sheetFormatPr defaultColWidth="8.81640625" defaultRowHeight="14.5" x14ac:dyDescent="0.35"/>
  <cols>
    <col min="1" max="1" width="28.7265625" customWidth="1"/>
    <col min="2" max="2" width="16.1796875" customWidth="1"/>
    <col min="3" max="3" width="16.81640625" customWidth="1"/>
  </cols>
  <sheetData>
    <row r="1" spans="1:3" x14ac:dyDescent="0.35">
      <c r="A1" s="8" t="s">
        <v>0</v>
      </c>
      <c r="B1" s="8" t="s">
        <v>1</v>
      </c>
      <c r="C1" s="8" t="s">
        <v>2</v>
      </c>
    </row>
    <row r="2" spans="1:3" x14ac:dyDescent="0.35">
      <c r="A2" s="10" t="s">
        <v>3</v>
      </c>
      <c r="B2" s="10" t="s">
        <v>194</v>
      </c>
      <c r="C2" s="10"/>
    </row>
    <row r="3" spans="1:3" x14ac:dyDescent="0.35">
      <c r="A3" s="24" t="s">
        <v>4</v>
      </c>
      <c r="B3" s="24" t="s">
        <v>195</v>
      </c>
      <c r="C3" s="24" t="s">
        <v>196</v>
      </c>
    </row>
    <row r="4" spans="1:3" x14ac:dyDescent="0.35">
      <c r="A4" s="10" t="s">
        <v>5</v>
      </c>
      <c r="B4" s="10" t="s">
        <v>195</v>
      </c>
      <c r="C4" s="10" t="s">
        <v>196</v>
      </c>
    </row>
    <row r="5" spans="1:3" x14ac:dyDescent="0.35">
      <c r="A5" s="24" t="s">
        <v>6</v>
      </c>
      <c r="B5" s="24" t="s">
        <v>195</v>
      </c>
      <c r="C5" s="24" t="s">
        <v>196</v>
      </c>
    </row>
    <row r="6" spans="1:3" x14ac:dyDescent="0.35">
      <c r="A6" s="10" t="s">
        <v>7</v>
      </c>
      <c r="B6" s="10" t="s">
        <v>195</v>
      </c>
      <c r="C6" s="10" t="s">
        <v>196</v>
      </c>
    </row>
  </sheetData>
  <dataValidations count="3">
    <dataValidation type="list" allowBlank="1" showInputMessage="1" showErrorMessage="1" sqref="B6" xr:uid="{59354AEA-B78E-4BA8-B281-7B7732D6CA05}">
      <formula1>"Same as Bank, Do Not Check"</formula1>
    </dataValidation>
    <dataValidation type="list" allowBlank="1" showInputMessage="1" showErrorMessage="1" sqref="B3:B5" xr:uid="{0D551C36-775A-4942-9563-979C8C63B6D8}">
      <formula1>"Same as Bank, Different Provider, Do Not Check"</formula1>
    </dataValidation>
    <dataValidation type="list" allowBlank="1" showInputMessage="1" showErrorMessage="1" sqref="B2" xr:uid="{9597C737-65A7-4E3C-AF66-11003FC3B4EB}">
      <formula1>"Business, Retail, Both"</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0A679-32CB-E64F-89A8-2DC352907F43}">
  <dimension ref="A1:B7"/>
  <sheetViews>
    <sheetView zoomScale="150" zoomScaleNormal="150" workbookViewId="0">
      <selection activeCell="B4" sqref="B4"/>
    </sheetView>
  </sheetViews>
  <sheetFormatPr defaultColWidth="11.453125" defaultRowHeight="14.5" x14ac:dyDescent="0.35"/>
  <cols>
    <col min="1" max="1" width="19.453125" customWidth="1"/>
    <col min="2" max="2" width="49.7265625" style="99" customWidth="1"/>
  </cols>
  <sheetData>
    <row r="1" spans="1:2" x14ac:dyDescent="0.35">
      <c r="A1" s="100" t="s">
        <v>8</v>
      </c>
      <c r="B1" s="101" t="s">
        <v>9</v>
      </c>
    </row>
    <row r="2" spans="1:2" x14ac:dyDescent="0.35">
      <c r="A2" s="102" t="s">
        <v>10</v>
      </c>
      <c r="B2" s="103" t="s">
        <v>197</v>
      </c>
    </row>
    <row r="3" spans="1:2" x14ac:dyDescent="0.35">
      <c r="A3" s="104" t="s">
        <v>11</v>
      </c>
      <c r="B3" s="105" t="s">
        <v>198</v>
      </c>
    </row>
    <row r="4" spans="1:2" x14ac:dyDescent="0.35">
      <c r="A4" s="102" t="s">
        <v>12</v>
      </c>
      <c r="B4" s="103"/>
    </row>
    <row r="5" spans="1:2" x14ac:dyDescent="0.35">
      <c r="A5" s="104" t="s">
        <v>13</v>
      </c>
      <c r="B5" s="105">
        <v>114026365</v>
      </c>
    </row>
    <row r="6" spans="1:2" x14ac:dyDescent="0.35">
      <c r="A6" s="102" t="s">
        <v>14</v>
      </c>
      <c r="B6" s="103">
        <v>13</v>
      </c>
    </row>
    <row r="7" spans="1:2" x14ac:dyDescent="0.35">
      <c r="A7" s="104" t="s">
        <v>15</v>
      </c>
      <c r="B7" s="10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42600-EE88-48C8-B8B1-8E25FBE07C68}">
  <dimension ref="A1:C9"/>
  <sheetViews>
    <sheetView zoomScale="160" zoomScaleNormal="160" workbookViewId="0">
      <selection activeCell="A12" sqref="A12"/>
    </sheetView>
  </sheetViews>
  <sheetFormatPr defaultColWidth="8.81640625" defaultRowHeight="14.5" x14ac:dyDescent="0.35"/>
  <cols>
    <col min="1" max="1" width="58.7265625" customWidth="1"/>
    <col min="2" max="2" width="15.453125" customWidth="1"/>
    <col min="3" max="3" width="21.81640625" customWidth="1"/>
  </cols>
  <sheetData>
    <row r="1" spans="1:3" x14ac:dyDescent="0.35">
      <c r="A1" s="8" t="s">
        <v>0</v>
      </c>
      <c r="B1" s="8" t="s">
        <v>1</v>
      </c>
      <c r="C1" s="8" t="s">
        <v>16</v>
      </c>
    </row>
    <row r="2" spans="1:3" ht="87" x14ac:dyDescent="0.35">
      <c r="A2" s="10" t="s">
        <v>203</v>
      </c>
      <c r="B2" s="10" t="s">
        <v>199</v>
      </c>
      <c r="C2" s="13" t="s">
        <v>204</v>
      </c>
    </row>
    <row r="3" spans="1:3" x14ac:dyDescent="0.35">
      <c r="A3" s="24" t="s">
        <v>17</v>
      </c>
      <c r="B3" s="24" t="s">
        <v>199</v>
      </c>
      <c r="C3" s="24"/>
    </row>
    <row r="4" spans="1:3" ht="43.5" x14ac:dyDescent="0.35">
      <c r="A4" s="10" t="s">
        <v>18</v>
      </c>
      <c r="B4" s="30" t="s">
        <v>200</v>
      </c>
      <c r="C4" s="13" t="s">
        <v>201</v>
      </c>
    </row>
    <row r="5" spans="1:3" x14ac:dyDescent="0.35">
      <c r="A5" s="106" t="s">
        <v>19</v>
      </c>
      <c r="B5" s="24" t="s">
        <v>199</v>
      </c>
      <c r="C5" s="24"/>
    </row>
    <row r="6" spans="1:3" x14ac:dyDescent="0.35">
      <c r="A6" s="29" t="s">
        <v>20</v>
      </c>
      <c r="B6" s="57" t="s">
        <v>202</v>
      </c>
      <c r="C6" s="29"/>
    </row>
    <row r="7" spans="1:3" x14ac:dyDescent="0.35">
      <c r="A7" s="24" t="s">
        <v>21</v>
      </c>
      <c r="B7" s="24" t="s">
        <v>199</v>
      </c>
      <c r="C7" s="24"/>
    </row>
    <row r="8" spans="1:3" x14ac:dyDescent="0.35">
      <c r="A8" s="10" t="s">
        <v>22</v>
      </c>
      <c r="B8" s="10" t="s">
        <v>199</v>
      </c>
      <c r="C8" s="10"/>
    </row>
    <row r="9" spans="1:3" x14ac:dyDescent="0.35">
      <c r="A9" s="141" t="s">
        <v>205</v>
      </c>
      <c r="B9" s="141" t="s">
        <v>206</v>
      </c>
      <c r="C9" s="142"/>
    </row>
  </sheetData>
  <dataValidations count="2">
    <dataValidation type="list" allowBlank="1" showInputMessage="1" showErrorMessage="1" sqref="B2:B3 B5 B7:B8" xr:uid="{F0B7E5D4-F3C2-4F23-AE9D-9656D35F6B8E}">
      <formula1>"Yes, No"</formula1>
    </dataValidation>
    <dataValidation type="list" allowBlank="1" showInputMessage="1" showErrorMessage="1" sqref="B4 B6" xr:uid="{B1643943-1320-4AC2-BA1C-3B8754E4F109}">
      <formula1>"Real-Time, EOM, N/A"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39697-2038-4178-8D7C-326954F260B5}">
  <dimension ref="A1:Q25"/>
  <sheetViews>
    <sheetView zoomScale="120" zoomScaleNormal="120" workbookViewId="0">
      <selection activeCell="B41" sqref="B41"/>
    </sheetView>
  </sheetViews>
  <sheetFormatPr defaultColWidth="8.81640625" defaultRowHeight="14.5" x14ac:dyDescent="0.35"/>
  <cols>
    <col min="1" max="1" width="15.26953125" bestFit="1" customWidth="1"/>
    <col min="2" max="2" width="14.453125" bestFit="1" customWidth="1"/>
    <col min="3" max="3" width="12.453125" bestFit="1" customWidth="1"/>
    <col min="4" max="4" width="24.6328125" style="99" customWidth="1"/>
    <col min="5" max="5" width="37.1796875" style="99" customWidth="1"/>
    <col min="6" max="6" width="12.1796875" bestFit="1" customWidth="1"/>
    <col min="7" max="7" width="10" bestFit="1" customWidth="1"/>
    <col min="8" max="8" width="13.26953125" bestFit="1" customWidth="1"/>
    <col min="9" max="9" width="7.1796875" bestFit="1" customWidth="1"/>
    <col min="10" max="10" width="11.453125" bestFit="1" customWidth="1"/>
    <col min="11" max="11" width="12" bestFit="1" customWidth="1"/>
    <col min="12" max="12" width="5.7265625" bestFit="1" customWidth="1"/>
    <col min="13" max="13" width="10" bestFit="1" customWidth="1"/>
    <col min="14" max="14" width="13.26953125" bestFit="1" customWidth="1"/>
    <col min="15" max="15" width="7.1796875" bestFit="1" customWidth="1"/>
    <col min="16" max="16" width="11.453125" bestFit="1" customWidth="1"/>
    <col min="17" max="17" width="12" bestFit="1" customWidth="1"/>
  </cols>
  <sheetData>
    <row r="1" spans="1:17" ht="15" thickBot="1" x14ac:dyDescent="0.4">
      <c r="A1" s="9" t="s">
        <v>23</v>
      </c>
      <c r="B1" s="9" t="s">
        <v>24</v>
      </c>
      <c r="C1" s="9" t="s">
        <v>25</v>
      </c>
      <c r="D1" s="155" t="s">
        <v>26</v>
      </c>
      <c r="E1" s="155" t="s">
        <v>27</v>
      </c>
      <c r="F1" s="31" t="s">
        <v>28</v>
      </c>
      <c r="G1" s="52" t="s">
        <v>29</v>
      </c>
      <c r="H1" s="53" t="s">
        <v>30</v>
      </c>
      <c r="I1" s="32" t="s">
        <v>31</v>
      </c>
      <c r="J1" s="32" t="s">
        <v>32</v>
      </c>
      <c r="K1" s="33" t="s">
        <v>33</v>
      </c>
      <c r="L1" s="34" t="s">
        <v>34</v>
      </c>
      <c r="M1" s="35" t="s">
        <v>29</v>
      </c>
      <c r="N1" s="35" t="s">
        <v>30</v>
      </c>
      <c r="O1" s="35" t="s">
        <v>31</v>
      </c>
      <c r="P1" s="35" t="s">
        <v>32</v>
      </c>
      <c r="Q1" s="36" t="s">
        <v>33</v>
      </c>
    </row>
    <row r="2" spans="1:17" x14ac:dyDescent="0.35">
      <c r="A2" s="108" t="s">
        <v>35</v>
      </c>
      <c r="B2" s="113" t="s">
        <v>207</v>
      </c>
      <c r="C2" s="109" t="s">
        <v>43</v>
      </c>
      <c r="D2" s="144" t="s">
        <v>208</v>
      </c>
      <c r="E2" s="143" t="s">
        <v>209</v>
      </c>
      <c r="F2" s="110" t="s">
        <v>210</v>
      </c>
      <c r="G2" s="111"/>
      <c r="H2" s="112"/>
      <c r="I2" s="123"/>
      <c r="J2" s="123"/>
      <c r="K2" s="124"/>
      <c r="L2" s="37" t="s">
        <v>39</v>
      </c>
      <c r="M2" s="38"/>
      <c r="N2" s="39"/>
      <c r="O2" s="38"/>
      <c r="P2" s="38"/>
      <c r="Q2" s="40"/>
    </row>
    <row r="3" spans="1:17" x14ac:dyDescent="0.35">
      <c r="A3" s="108"/>
      <c r="B3" s="114"/>
      <c r="C3" s="109"/>
      <c r="D3" s="144"/>
      <c r="E3" s="143"/>
      <c r="F3" s="110"/>
      <c r="G3" s="111"/>
      <c r="H3" s="112"/>
      <c r="I3" s="123"/>
      <c r="J3" s="123"/>
      <c r="K3" s="124"/>
      <c r="L3" s="41" t="s">
        <v>40</v>
      </c>
      <c r="M3" s="16"/>
      <c r="N3" s="42"/>
      <c r="O3" s="16"/>
      <c r="P3" s="16"/>
      <c r="Q3" s="43"/>
    </row>
    <row r="4" spans="1:17" ht="15" thickBot="1" x14ac:dyDescent="0.4">
      <c r="A4" s="108"/>
      <c r="B4" s="115"/>
      <c r="C4" s="109"/>
      <c r="D4" s="144"/>
      <c r="E4" s="143"/>
      <c r="F4" s="110"/>
      <c r="G4" s="111"/>
      <c r="H4" s="112"/>
      <c r="I4" s="123"/>
      <c r="J4" s="123"/>
      <c r="K4" s="124"/>
      <c r="L4" s="44" t="s">
        <v>41</v>
      </c>
      <c r="M4" s="45"/>
      <c r="N4" s="46"/>
      <c r="O4" s="45"/>
      <c r="P4" s="45"/>
      <c r="Q4" s="47"/>
    </row>
    <row r="5" spans="1:17" x14ac:dyDescent="0.35">
      <c r="A5" s="108" t="s">
        <v>42</v>
      </c>
      <c r="B5" s="113" t="s">
        <v>207</v>
      </c>
      <c r="C5" s="109" t="s">
        <v>43</v>
      </c>
      <c r="D5" s="144" t="s">
        <v>211</v>
      </c>
      <c r="E5" s="143" t="s">
        <v>212</v>
      </c>
      <c r="F5" s="110" t="s">
        <v>210</v>
      </c>
      <c r="G5" s="111"/>
      <c r="H5" s="112"/>
      <c r="I5" s="123"/>
      <c r="J5" s="123"/>
      <c r="K5" s="124"/>
      <c r="L5" s="37" t="s">
        <v>39</v>
      </c>
      <c r="M5" s="38"/>
      <c r="N5" s="39"/>
      <c r="O5" s="38"/>
      <c r="P5" s="38"/>
      <c r="Q5" s="40"/>
    </row>
    <row r="6" spans="1:17" x14ac:dyDescent="0.35">
      <c r="A6" s="108"/>
      <c r="B6" s="114"/>
      <c r="C6" s="109"/>
      <c r="D6" s="144"/>
      <c r="E6" s="143"/>
      <c r="F6" s="110"/>
      <c r="G6" s="111"/>
      <c r="H6" s="112"/>
      <c r="I6" s="123"/>
      <c r="J6" s="123"/>
      <c r="K6" s="124"/>
      <c r="L6" s="41" t="s">
        <v>40</v>
      </c>
      <c r="M6" s="16"/>
      <c r="N6" s="42"/>
      <c r="O6" s="16"/>
      <c r="P6" s="16"/>
      <c r="Q6" s="43"/>
    </row>
    <row r="7" spans="1:17" ht="15" thickBot="1" x14ac:dyDescent="0.4">
      <c r="A7" s="116"/>
      <c r="B7" s="114"/>
      <c r="C7" s="117"/>
      <c r="D7" s="145"/>
      <c r="E7" s="146"/>
      <c r="F7" s="118"/>
      <c r="G7" s="125"/>
      <c r="H7" s="126"/>
      <c r="I7" s="131"/>
      <c r="J7" s="123"/>
      <c r="K7" s="124"/>
      <c r="L7" s="44" t="s">
        <v>41</v>
      </c>
      <c r="M7" s="45"/>
      <c r="N7" s="46"/>
      <c r="O7" s="45"/>
      <c r="P7" s="45"/>
      <c r="Q7" s="47"/>
    </row>
    <row r="8" spans="1:17" hidden="1" x14ac:dyDescent="0.35">
      <c r="A8" s="108" t="s">
        <v>213</v>
      </c>
      <c r="B8" s="136" t="s">
        <v>207</v>
      </c>
      <c r="C8" s="132" t="s">
        <v>43</v>
      </c>
      <c r="D8" s="147" t="s">
        <v>214</v>
      </c>
      <c r="E8" s="148" t="s">
        <v>215</v>
      </c>
      <c r="F8" s="134" t="s">
        <v>37</v>
      </c>
      <c r="G8" s="119"/>
      <c r="H8" s="121" t="s">
        <v>38</v>
      </c>
      <c r="I8" s="127">
        <v>0.7</v>
      </c>
      <c r="J8" s="127">
        <v>2</v>
      </c>
      <c r="K8" s="129">
        <v>5</v>
      </c>
      <c r="L8" s="37" t="s">
        <v>39</v>
      </c>
      <c r="M8" s="38"/>
      <c r="N8" s="39"/>
      <c r="O8" s="38"/>
      <c r="P8" s="38"/>
      <c r="Q8" s="40"/>
    </row>
    <row r="9" spans="1:17" hidden="1" x14ac:dyDescent="0.35">
      <c r="A9" s="108"/>
      <c r="B9" s="114"/>
      <c r="C9" s="109"/>
      <c r="D9" s="144"/>
      <c r="E9" s="143"/>
      <c r="F9" s="110"/>
      <c r="G9" s="111"/>
      <c r="H9" s="112"/>
      <c r="I9" s="123"/>
      <c r="J9" s="123"/>
      <c r="K9" s="124"/>
      <c r="L9" s="41" t="s">
        <v>40</v>
      </c>
      <c r="M9" s="16"/>
      <c r="N9" s="42"/>
      <c r="O9" s="16"/>
      <c r="P9" s="16"/>
      <c r="Q9" s="43"/>
    </row>
    <row r="10" spans="1:17" ht="15" hidden="1" thickBot="1" x14ac:dyDescent="0.4">
      <c r="A10" s="116"/>
      <c r="B10" s="137"/>
      <c r="C10" s="133"/>
      <c r="D10" s="149"/>
      <c r="E10" s="150"/>
      <c r="F10" s="135"/>
      <c r="G10" s="120"/>
      <c r="H10" s="122"/>
      <c r="I10" s="128"/>
      <c r="J10" s="128"/>
      <c r="K10" s="130"/>
      <c r="L10" s="48" t="s">
        <v>41</v>
      </c>
      <c r="M10" s="49"/>
      <c r="N10" s="50"/>
      <c r="O10" s="49"/>
      <c r="P10" s="49"/>
      <c r="Q10" s="51"/>
    </row>
    <row r="11" spans="1:17" x14ac:dyDescent="0.35">
      <c r="A11" s="108" t="s">
        <v>216</v>
      </c>
      <c r="B11" s="136" t="s">
        <v>207</v>
      </c>
      <c r="C11" s="132" t="s">
        <v>43</v>
      </c>
      <c r="D11" s="147" t="s">
        <v>217</v>
      </c>
      <c r="E11" s="156" t="s">
        <v>218</v>
      </c>
      <c r="F11" s="134" t="s">
        <v>210</v>
      </c>
      <c r="G11" s="119"/>
      <c r="H11" s="121"/>
      <c r="I11" s="127"/>
      <c r="J11" s="127"/>
      <c r="K11" s="129"/>
      <c r="L11" s="37" t="s">
        <v>39</v>
      </c>
      <c r="M11" s="38"/>
      <c r="N11" s="39"/>
      <c r="O11" s="38"/>
      <c r="P11" s="38"/>
      <c r="Q11" s="40"/>
    </row>
    <row r="12" spans="1:17" x14ac:dyDescent="0.35">
      <c r="A12" s="108"/>
      <c r="B12" s="114"/>
      <c r="C12" s="109"/>
      <c r="D12" s="144"/>
      <c r="E12" s="143"/>
      <c r="F12" s="110"/>
      <c r="G12" s="111"/>
      <c r="H12" s="112"/>
      <c r="I12" s="123"/>
      <c r="J12" s="123"/>
      <c r="K12" s="124"/>
      <c r="L12" s="41" t="s">
        <v>40</v>
      </c>
      <c r="M12" s="16"/>
      <c r="N12" s="42"/>
      <c r="O12" s="16"/>
      <c r="P12" s="16"/>
      <c r="Q12" s="43"/>
    </row>
    <row r="13" spans="1:17" ht="15" thickBot="1" x14ac:dyDescent="0.4">
      <c r="A13" s="116"/>
      <c r="B13" s="137"/>
      <c r="C13" s="133"/>
      <c r="D13" s="149"/>
      <c r="E13" s="150"/>
      <c r="F13" s="135"/>
      <c r="G13" s="120"/>
      <c r="H13" s="122"/>
      <c r="I13" s="128"/>
      <c r="J13" s="128"/>
      <c r="K13" s="130"/>
      <c r="L13" s="48" t="s">
        <v>41</v>
      </c>
      <c r="M13" s="49"/>
      <c r="N13" s="50"/>
      <c r="O13" s="49"/>
      <c r="P13" s="49"/>
      <c r="Q13" s="51"/>
    </row>
    <row r="14" spans="1:17" x14ac:dyDescent="0.35">
      <c r="A14" s="108" t="s">
        <v>219</v>
      </c>
      <c r="B14" s="136" t="s">
        <v>207</v>
      </c>
      <c r="C14" s="132" t="s">
        <v>43</v>
      </c>
      <c r="D14" s="147" t="s">
        <v>220</v>
      </c>
      <c r="E14" s="148" t="s">
        <v>221</v>
      </c>
      <c r="F14" s="134" t="s">
        <v>210</v>
      </c>
      <c r="G14" s="119"/>
      <c r="H14" s="121"/>
      <c r="I14" s="127"/>
      <c r="J14" s="127"/>
      <c r="K14" s="129"/>
      <c r="L14" s="37" t="s">
        <v>39</v>
      </c>
      <c r="M14" s="38"/>
      <c r="N14" s="39"/>
      <c r="O14" s="38"/>
      <c r="P14" s="38"/>
      <c r="Q14" s="40"/>
    </row>
    <row r="15" spans="1:17" x14ac:dyDescent="0.35">
      <c r="A15" s="108"/>
      <c r="B15" s="114"/>
      <c r="C15" s="109"/>
      <c r="D15" s="144"/>
      <c r="E15" s="143"/>
      <c r="F15" s="110"/>
      <c r="G15" s="111"/>
      <c r="H15" s="112"/>
      <c r="I15" s="123"/>
      <c r="J15" s="123"/>
      <c r="K15" s="124"/>
      <c r="L15" s="41" t="s">
        <v>40</v>
      </c>
      <c r="M15" s="16"/>
      <c r="N15" s="42"/>
      <c r="O15" s="16"/>
      <c r="P15" s="16"/>
      <c r="Q15" s="43"/>
    </row>
    <row r="16" spans="1:17" ht="15" thickBot="1" x14ac:dyDescent="0.4">
      <c r="A16" s="116"/>
      <c r="B16" s="137"/>
      <c r="C16" s="133"/>
      <c r="D16" s="149"/>
      <c r="E16" s="150"/>
      <c r="F16" s="135"/>
      <c r="G16" s="120"/>
      <c r="H16" s="122"/>
      <c r="I16" s="128"/>
      <c r="J16" s="128"/>
      <c r="K16" s="130"/>
      <c r="L16" s="48" t="s">
        <v>41</v>
      </c>
      <c r="M16" s="49"/>
      <c r="N16" s="50"/>
      <c r="O16" s="49"/>
      <c r="P16" s="49"/>
      <c r="Q16" s="51"/>
    </row>
    <row r="17" spans="1:17" hidden="1" x14ac:dyDescent="0.35">
      <c r="A17" s="116" t="s">
        <v>222</v>
      </c>
      <c r="B17" s="136" t="s">
        <v>36</v>
      </c>
      <c r="C17" s="163" t="s">
        <v>43</v>
      </c>
      <c r="D17" s="160" t="s">
        <v>223</v>
      </c>
      <c r="E17" s="157" t="s">
        <v>224</v>
      </c>
      <c r="F17" s="177" t="s">
        <v>37</v>
      </c>
      <c r="G17" s="174"/>
      <c r="H17" s="171" t="s">
        <v>38</v>
      </c>
      <c r="I17" s="168">
        <v>0.6</v>
      </c>
      <c r="J17" s="168">
        <v>2</v>
      </c>
      <c r="K17" s="180">
        <v>5</v>
      </c>
      <c r="L17" s="37" t="s">
        <v>39</v>
      </c>
      <c r="M17" s="38"/>
      <c r="N17" s="39"/>
      <c r="O17" s="38"/>
      <c r="P17" s="38"/>
      <c r="Q17" s="40"/>
    </row>
    <row r="18" spans="1:17" hidden="1" x14ac:dyDescent="0.35">
      <c r="A18" s="166"/>
      <c r="B18" s="114"/>
      <c r="C18" s="164"/>
      <c r="D18" s="161"/>
      <c r="E18" s="158"/>
      <c r="F18" s="178"/>
      <c r="G18" s="175"/>
      <c r="H18" s="172"/>
      <c r="I18" s="169"/>
      <c r="J18" s="169"/>
      <c r="K18" s="181"/>
      <c r="L18" s="41" t="s">
        <v>40</v>
      </c>
      <c r="M18" s="16"/>
      <c r="N18" s="42"/>
      <c r="O18" s="16"/>
      <c r="P18" s="16"/>
      <c r="Q18" s="43"/>
    </row>
    <row r="19" spans="1:17" ht="15" hidden="1" thickBot="1" x14ac:dyDescent="0.4">
      <c r="A19" s="167"/>
      <c r="B19" s="137"/>
      <c r="C19" s="165"/>
      <c r="D19" s="162"/>
      <c r="E19" s="159"/>
      <c r="F19" s="179"/>
      <c r="G19" s="176"/>
      <c r="H19" s="173"/>
      <c r="I19" s="170"/>
      <c r="J19" s="170"/>
      <c r="K19" s="182"/>
      <c r="L19" s="48" t="s">
        <v>41</v>
      </c>
      <c r="M19" s="49"/>
      <c r="N19" s="50"/>
      <c r="O19" s="49"/>
      <c r="P19" s="49"/>
      <c r="Q19" s="51"/>
    </row>
    <row r="20" spans="1:17" hidden="1" x14ac:dyDescent="0.35">
      <c r="A20" s="116" t="s">
        <v>225</v>
      </c>
      <c r="B20" s="136" t="s">
        <v>36</v>
      </c>
      <c r="C20" s="163" t="s">
        <v>43</v>
      </c>
      <c r="D20" s="160" t="s">
        <v>226</v>
      </c>
      <c r="E20" s="157" t="s">
        <v>227</v>
      </c>
      <c r="F20" s="177" t="s">
        <v>210</v>
      </c>
      <c r="G20" s="174"/>
      <c r="H20" s="171"/>
      <c r="I20" s="168"/>
      <c r="J20" s="168"/>
      <c r="K20" s="180"/>
      <c r="L20" s="37" t="s">
        <v>39</v>
      </c>
      <c r="M20" s="38"/>
      <c r="N20" s="39"/>
      <c r="O20" s="38"/>
      <c r="P20" s="38"/>
      <c r="Q20" s="40"/>
    </row>
    <row r="21" spans="1:17" hidden="1" x14ac:dyDescent="0.35">
      <c r="A21" s="166"/>
      <c r="B21" s="114"/>
      <c r="C21" s="164"/>
      <c r="D21" s="161"/>
      <c r="E21" s="158"/>
      <c r="F21" s="178"/>
      <c r="G21" s="175"/>
      <c r="H21" s="172"/>
      <c r="I21" s="169"/>
      <c r="J21" s="169"/>
      <c r="K21" s="181"/>
      <c r="L21" s="41" t="s">
        <v>40</v>
      </c>
      <c r="M21" s="16"/>
      <c r="N21" s="42"/>
      <c r="O21" s="16"/>
      <c r="P21" s="16"/>
      <c r="Q21" s="43"/>
    </row>
    <row r="22" spans="1:17" ht="15" hidden="1" thickBot="1" x14ac:dyDescent="0.4">
      <c r="A22" s="183"/>
      <c r="B22" s="137"/>
      <c r="C22" s="165"/>
      <c r="D22" s="162"/>
      <c r="E22" s="159"/>
      <c r="F22" s="179"/>
      <c r="G22" s="176"/>
      <c r="H22" s="173"/>
      <c r="I22" s="170"/>
      <c r="J22" s="170"/>
      <c r="K22" s="182"/>
      <c r="L22" s="48" t="s">
        <v>41</v>
      </c>
      <c r="M22" s="49"/>
      <c r="N22" s="50"/>
      <c r="O22" s="49"/>
      <c r="P22" s="49"/>
      <c r="Q22" s="51"/>
    </row>
    <row r="23" spans="1:17" x14ac:dyDescent="0.35">
      <c r="A23" s="151" t="s">
        <v>228</v>
      </c>
      <c r="B23" s="152" t="s">
        <v>207</v>
      </c>
      <c r="C23" s="132" t="s">
        <v>43</v>
      </c>
      <c r="D23" s="147" t="s">
        <v>229</v>
      </c>
      <c r="E23" s="148" t="s">
        <v>263</v>
      </c>
      <c r="F23" s="134" t="s">
        <v>210</v>
      </c>
      <c r="G23" s="119"/>
      <c r="H23" s="121"/>
      <c r="I23" s="127"/>
      <c r="J23" s="127"/>
      <c r="K23" s="129"/>
      <c r="L23" s="37" t="s">
        <v>39</v>
      </c>
      <c r="M23" s="38"/>
      <c r="N23" s="39"/>
      <c r="O23" s="38"/>
      <c r="P23" s="38"/>
      <c r="Q23" s="40"/>
    </row>
    <row r="24" spans="1:17" x14ac:dyDescent="0.35">
      <c r="A24" s="151"/>
      <c r="B24" s="153"/>
      <c r="C24" s="109"/>
      <c r="D24" s="144"/>
      <c r="E24" s="143"/>
      <c r="F24" s="110"/>
      <c r="G24" s="111"/>
      <c r="H24" s="112"/>
      <c r="I24" s="123"/>
      <c r="J24" s="123"/>
      <c r="K24" s="124"/>
      <c r="L24" s="41" t="s">
        <v>40</v>
      </c>
      <c r="M24" s="16"/>
      <c r="N24" s="42"/>
      <c r="O24" s="16"/>
      <c r="P24" s="16"/>
      <c r="Q24" s="43"/>
    </row>
    <row r="25" spans="1:17" ht="15" thickBot="1" x14ac:dyDescent="0.4">
      <c r="A25" s="151"/>
      <c r="B25" s="154"/>
      <c r="C25" s="133"/>
      <c r="D25" s="149"/>
      <c r="E25" s="150"/>
      <c r="F25" s="135"/>
      <c r="G25" s="120"/>
      <c r="H25" s="122"/>
      <c r="I25" s="128"/>
      <c r="J25" s="128"/>
      <c r="K25" s="130"/>
      <c r="L25" s="48" t="s">
        <v>41</v>
      </c>
      <c r="M25" s="49"/>
      <c r="N25" s="50"/>
      <c r="O25" s="49"/>
      <c r="P25" s="49"/>
      <c r="Q25" s="51"/>
    </row>
  </sheetData>
  <mergeCells count="88">
    <mergeCell ref="K23:K25"/>
    <mergeCell ref="F23:F25"/>
    <mergeCell ref="G23:G25"/>
    <mergeCell ref="H23:H25"/>
    <mergeCell ref="I23:I25"/>
    <mergeCell ref="J23:J25"/>
    <mergeCell ref="A23:A25"/>
    <mergeCell ref="B23:B25"/>
    <mergeCell ref="C23:C25"/>
    <mergeCell ref="D23:D25"/>
    <mergeCell ref="E23:E25"/>
    <mergeCell ref="K17:K19"/>
    <mergeCell ref="A20:A22"/>
    <mergeCell ref="B20:B22"/>
    <mergeCell ref="C20:C22"/>
    <mergeCell ref="D20:D22"/>
    <mergeCell ref="E20:E22"/>
    <mergeCell ref="F20:F22"/>
    <mergeCell ref="G20:G22"/>
    <mergeCell ref="H20:H22"/>
    <mergeCell ref="I20:I22"/>
    <mergeCell ref="J20:J22"/>
    <mergeCell ref="K20:K22"/>
    <mergeCell ref="F17:F19"/>
    <mergeCell ref="G17:G19"/>
    <mergeCell ref="H17:H19"/>
    <mergeCell ref="I17:I19"/>
    <mergeCell ref="J17:J19"/>
    <mergeCell ref="A17:A19"/>
    <mergeCell ref="B17:B19"/>
    <mergeCell ref="C17:C19"/>
    <mergeCell ref="D17:D19"/>
    <mergeCell ref="E17:E19"/>
    <mergeCell ref="J11:J13"/>
    <mergeCell ref="K11:K13"/>
    <mergeCell ref="A14:A16"/>
    <mergeCell ref="B14:B16"/>
    <mergeCell ref="C14:C16"/>
    <mergeCell ref="D14:D16"/>
    <mergeCell ref="E14:E16"/>
    <mergeCell ref="F14:F16"/>
    <mergeCell ref="G14:G16"/>
    <mergeCell ref="H14:H16"/>
    <mergeCell ref="I14:I16"/>
    <mergeCell ref="J14:J16"/>
    <mergeCell ref="K14:K16"/>
    <mergeCell ref="E11:E13"/>
    <mergeCell ref="F11:F13"/>
    <mergeCell ref="G11:G13"/>
    <mergeCell ref="H11:H13"/>
    <mergeCell ref="I11:I13"/>
    <mergeCell ref="G8:G10"/>
    <mergeCell ref="H8:H10"/>
    <mergeCell ref="I8:I10"/>
    <mergeCell ref="J8:J10"/>
    <mergeCell ref="K8:K10"/>
    <mergeCell ref="J2:J4"/>
    <mergeCell ref="K2:K4"/>
    <mergeCell ref="A5:A7"/>
    <mergeCell ref="B5:B7"/>
    <mergeCell ref="C5:C7"/>
    <mergeCell ref="D5:D7"/>
    <mergeCell ref="E5:E7"/>
    <mergeCell ref="F5:F7"/>
    <mergeCell ref="G5:G7"/>
    <mergeCell ref="H5:H7"/>
    <mergeCell ref="I5:I7"/>
    <mergeCell ref="J5:J7"/>
    <mergeCell ref="K5:K7"/>
    <mergeCell ref="A8:A10"/>
    <mergeCell ref="B8:B10"/>
    <mergeCell ref="C8:C10"/>
    <mergeCell ref="D8:D10"/>
    <mergeCell ref="E8:E10"/>
    <mergeCell ref="F8:F10"/>
    <mergeCell ref="A11:A13"/>
    <mergeCell ref="B11:B13"/>
    <mergeCell ref="C11:C13"/>
    <mergeCell ref="D11:D13"/>
    <mergeCell ref="G2:G4"/>
    <mergeCell ref="H2:H4"/>
    <mergeCell ref="I2:I4"/>
    <mergeCell ref="A2:A4"/>
    <mergeCell ref="B2:B4"/>
    <mergeCell ref="C2:C4"/>
    <mergeCell ref="D2:D4"/>
    <mergeCell ref="E2:E4"/>
    <mergeCell ref="F2:F4"/>
  </mergeCells>
  <dataValidations count="4">
    <dataValidation type="list" allowBlank="1" showInputMessage="1" showErrorMessage="1" sqref="F2 F5 F8 F11 F14 F17 F20 F23" xr:uid="{5F1BE339-2120-43F9-8F1A-F2DAA9131D64}">
      <formula1>"No Interest, Fixed Interest, Variable, Bracketed, Tiered"</formula1>
    </dataValidation>
    <dataValidation type="list" allowBlank="1" showInputMessage="1" showErrorMessage="1" sqref="C2 C5 C8 C11 C14 C17 C20 C23" xr:uid="{FF5934EC-C9A3-4A95-9002-697FCFC4CA5A}">
      <formula1>"Checking, Savings"</formula1>
    </dataValidation>
    <dataValidation type="list" allowBlank="1" showInputMessage="1" showErrorMessage="1" sqref="H5 H8 H2 H20 H11 H14 H17 N2:N25 H23" xr:uid="{DD6392DF-DBB2-41B9-A97B-ECE26D0CD885}">
      <formula1>"FFE, SOFR"</formula1>
    </dataValidation>
    <dataValidation type="list" allowBlank="1" showInputMessage="1" showErrorMessage="1" sqref="B2:B25" xr:uid="{CE7C2E65-98C5-454B-A174-C5167F118D11}">
      <formula1>"Commercial, Retail"</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13B46-ACC7-4ABC-8937-D1FAC5E50F11}">
  <dimension ref="A1:L27"/>
  <sheetViews>
    <sheetView workbookViewId="0">
      <selection activeCell="B31" sqref="B31"/>
    </sheetView>
  </sheetViews>
  <sheetFormatPr defaultColWidth="8.81640625" defaultRowHeight="14.5" x14ac:dyDescent="0.35"/>
  <cols>
    <col min="1" max="1" width="18.1796875" customWidth="1"/>
    <col min="2" max="2" width="30" bestFit="1" customWidth="1"/>
    <col min="3" max="3" width="26.26953125" customWidth="1"/>
    <col min="4" max="4" width="18.26953125" customWidth="1"/>
    <col min="5" max="12" width="16.81640625" customWidth="1"/>
  </cols>
  <sheetData>
    <row r="1" spans="1:12" ht="15" thickBot="1" x14ac:dyDescent="0.4">
      <c r="B1" s="138" t="s">
        <v>59</v>
      </c>
      <c r="C1" s="138"/>
      <c r="D1" s="138"/>
      <c r="E1" s="138"/>
      <c r="F1" s="138"/>
      <c r="G1" s="138"/>
      <c r="H1" s="138"/>
      <c r="I1" s="138"/>
      <c r="J1" s="138"/>
      <c r="K1" s="138"/>
      <c r="L1" s="138"/>
    </row>
    <row r="2" spans="1:12" x14ac:dyDescent="0.35">
      <c r="A2" s="184"/>
      <c r="B2" s="55"/>
      <c r="C2" s="56"/>
      <c r="D2" s="185" t="s">
        <v>44</v>
      </c>
      <c r="E2" s="186" t="s">
        <v>45</v>
      </c>
      <c r="F2" s="186"/>
      <c r="G2" s="185" t="s">
        <v>46</v>
      </c>
      <c r="H2" s="186" t="s">
        <v>47</v>
      </c>
      <c r="I2" s="186"/>
      <c r="J2" s="185" t="s">
        <v>48</v>
      </c>
      <c r="K2" s="186" t="s">
        <v>49</v>
      </c>
      <c r="L2" s="187"/>
    </row>
    <row r="3" spans="1:12" ht="15" thickBot="1" x14ac:dyDescent="0.4">
      <c r="A3" s="184" t="s">
        <v>230</v>
      </c>
      <c r="B3" s="97" t="s">
        <v>50</v>
      </c>
      <c r="C3" s="98" t="s">
        <v>51</v>
      </c>
      <c r="D3" s="188" t="s">
        <v>52</v>
      </c>
      <c r="E3" s="188" t="s">
        <v>53</v>
      </c>
      <c r="F3" s="188" t="s">
        <v>54</v>
      </c>
      <c r="G3" s="188" t="s">
        <v>52</v>
      </c>
      <c r="H3" s="188" t="s">
        <v>53</v>
      </c>
      <c r="I3" s="188" t="s">
        <v>54</v>
      </c>
      <c r="J3" s="188" t="s">
        <v>52</v>
      </c>
      <c r="K3" s="188" t="s">
        <v>53</v>
      </c>
      <c r="L3" s="189" t="s">
        <v>54</v>
      </c>
    </row>
    <row r="4" spans="1:12" ht="44" thickBot="1" x14ac:dyDescent="0.4">
      <c r="A4" s="190" t="s">
        <v>231</v>
      </c>
      <c r="B4" s="191" t="s">
        <v>232</v>
      </c>
      <c r="C4" s="192" t="s">
        <v>56</v>
      </c>
      <c r="D4" s="193">
        <v>50000</v>
      </c>
      <c r="E4" s="193">
        <v>25000</v>
      </c>
      <c r="F4" s="193">
        <v>50000</v>
      </c>
      <c r="G4" s="193" t="s">
        <v>233</v>
      </c>
      <c r="H4" s="193">
        <v>1000000</v>
      </c>
      <c r="I4" s="193">
        <v>5000000</v>
      </c>
      <c r="J4" s="193">
        <v>10000</v>
      </c>
      <c r="K4" s="193">
        <v>5000</v>
      </c>
      <c r="L4" s="194">
        <v>10000</v>
      </c>
    </row>
    <row r="5" spans="1:12" ht="15" thickBot="1" x14ac:dyDescent="0.4">
      <c r="A5" s="195"/>
      <c r="B5" s="196" t="s">
        <v>232</v>
      </c>
      <c r="C5" s="197" t="s">
        <v>57</v>
      </c>
      <c r="D5" s="198">
        <v>100000</v>
      </c>
      <c r="E5" s="198">
        <v>100000</v>
      </c>
      <c r="F5" s="198">
        <v>100000</v>
      </c>
      <c r="G5" s="198" t="s">
        <v>233</v>
      </c>
      <c r="H5" s="198">
        <v>1000000</v>
      </c>
      <c r="I5" s="198">
        <v>5000000</v>
      </c>
      <c r="J5" s="198">
        <v>10000</v>
      </c>
      <c r="K5" s="198">
        <v>5000</v>
      </c>
      <c r="L5" s="199">
        <v>10000</v>
      </c>
    </row>
    <row r="6" spans="1:12" ht="15" thickBot="1" x14ac:dyDescent="0.4">
      <c r="A6" s="200"/>
      <c r="B6" s="201" t="s">
        <v>232</v>
      </c>
      <c r="C6" s="202" t="s">
        <v>58</v>
      </c>
      <c r="D6" s="203" t="s">
        <v>114</v>
      </c>
      <c r="E6" s="203" t="s">
        <v>114</v>
      </c>
      <c r="F6" s="203" t="s">
        <v>114</v>
      </c>
      <c r="G6" s="203" t="s">
        <v>114</v>
      </c>
      <c r="H6" s="203" t="s">
        <v>114</v>
      </c>
      <c r="I6" s="203" t="s">
        <v>114</v>
      </c>
      <c r="J6" s="203" t="s">
        <v>114</v>
      </c>
      <c r="K6" s="203" t="s">
        <v>114</v>
      </c>
      <c r="L6" s="204" t="s">
        <v>114</v>
      </c>
    </row>
    <row r="7" spans="1:12" ht="43.5" x14ac:dyDescent="0.35">
      <c r="A7" s="205" t="s">
        <v>234</v>
      </c>
      <c r="B7" s="206" t="s">
        <v>235</v>
      </c>
      <c r="C7" s="207" t="s">
        <v>56</v>
      </c>
      <c r="D7" s="208">
        <v>50000</v>
      </c>
      <c r="E7" s="208">
        <v>25000</v>
      </c>
      <c r="F7" s="208">
        <v>50000</v>
      </c>
      <c r="G7" s="208" t="s">
        <v>233</v>
      </c>
      <c r="H7" s="208">
        <v>1000000</v>
      </c>
      <c r="I7" s="208">
        <v>5000000</v>
      </c>
      <c r="J7" s="208">
        <v>10000</v>
      </c>
      <c r="K7" s="208">
        <v>5000</v>
      </c>
      <c r="L7" s="209">
        <v>10000</v>
      </c>
    </row>
    <row r="8" spans="1:12" ht="29" x14ac:dyDescent="0.35">
      <c r="A8" s="210"/>
      <c r="B8" s="211" t="s">
        <v>235</v>
      </c>
      <c r="C8" s="10" t="s">
        <v>57</v>
      </c>
      <c r="D8" s="212">
        <v>100000</v>
      </c>
      <c r="E8" s="212">
        <v>100000</v>
      </c>
      <c r="F8" s="212">
        <v>100000</v>
      </c>
      <c r="G8" s="212" t="s">
        <v>233</v>
      </c>
      <c r="H8" s="212">
        <v>1000000</v>
      </c>
      <c r="I8" s="212">
        <v>5000000</v>
      </c>
      <c r="J8" s="212">
        <v>10000</v>
      </c>
      <c r="K8" s="212">
        <v>5000</v>
      </c>
      <c r="L8" s="213">
        <v>10000</v>
      </c>
    </row>
    <row r="9" spans="1:12" ht="29.5" thickBot="1" x14ac:dyDescent="0.4">
      <c r="A9" s="214"/>
      <c r="B9" s="215" t="s">
        <v>235</v>
      </c>
      <c r="C9" s="216" t="s">
        <v>58</v>
      </c>
      <c r="D9" s="217" t="s">
        <v>114</v>
      </c>
      <c r="E9" s="217" t="s">
        <v>114</v>
      </c>
      <c r="F9" s="217" t="s">
        <v>114</v>
      </c>
      <c r="G9" s="217" t="s">
        <v>114</v>
      </c>
      <c r="H9" s="217" t="s">
        <v>114</v>
      </c>
      <c r="I9" s="217" t="s">
        <v>114</v>
      </c>
      <c r="J9" s="217" t="s">
        <v>114</v>
      </c>
      <c r="K9" s="217" t="s">
        <v>114</v>
      </c>
      <c r="L9" s="218" t="s">
        <v>114</v>
      </c>
    </row>
    <row r="10" spans="1:12" ht="44" hidden="1" thickBot="1" x14ac:dyDescent="0.4">
      <c r="A10" s="190" t="s">
        <v>236</v>
      </c>
      <c r="B10" s="219" t="s">
        <v>237</v>
      </c>
      <c r="C10" s="220" t="s">
        <v>56</v>
      </c>
      <c r="D10" s="193">
        <v>50000</v>
      </c>
      <c r="E10" s="193">
        <v>25000</v>
      </c>
      <c r="F10" s="193">
        <v>50000</v>
      </c>
      <c r="G10" s="193" t="s">
        <v>233</v>
      </c>
      <c r="H10" s="193">
        <v>1000000</v>
      </c>
      <c r="I10" s="193">
        <v>5000000</v>
      </c>
      <c r="J10" s="193">
        <v>10000</v>
      </c>
      <c r="K10" s="193">
        <v>5000</v>
      </c>
      <c r="L10" s="194">
        <v>10000</v>
      </c>
    </row>
    <row r="11" spans="1:12" ht="29.5" hidden="1" thickBot="1" x14ac:dyDescent="0.4">
      <c r="A11" s="195"/>
      <c r="B11" s="221" t="s">
        <v>237</v>
      </c>
      <c r="C11" s="222" t="s">
        <v>57</v>
      </c>
      <c r="D11" s="198">
        <v>100000</v>
      </c>
      <c r="E11" s="198">
        <v>100000</v>
      </c>
      <c r="F11" s="198">
        <v>100000</v>
      </c>
      <c r="G11" s="198" t="s">
        <v>233</v>
      </c>
      <c r="H11" s="198">
        <v>1000000</v>
      </c>
      <c r="I11" s="198">
        <v>5000000</v>
      </c>
      <c r="J11" s="198">
        <v>10000</v>
      </c>
      <c r="K11" s="198">
        <v>5000</v>
      </c>
      <c r="L11" s="199">
        <v>10000</v>
      </c>
    </row>
    <row r="12" spans="1:12" ht="29.5" hidden="1" thickBot="1" x14ac:dyDescent="0.4">
      <c r="A12" s="200"/>
      <c r="B12" s="223" t="s">
        <v>237</v>
      </c>
      <c r="C12" s="224" t="s">
        <v>58</v>
      </c>
      <c r="D12" s="203" t="s">
        <v>114</v>
      </c>
      <c r="E12" s="203" t="s">
        <v>114</v>
      </c>
      <c r="F12" s="203" t="s">
        <v>114</v>
      </c>
      <c r="G12" s="203" t="s">
        <v>114</v>
      </c>
      <c r="H12" s="203" t="s">
        <v>114</v>
      </c>
      <c r="I12" s="203" t="s">
        <v>114</v>
      </c>
      <c r="J12" s="203" t="s">
        <v>114</v>
      </c>
      <c r="K12" s="203" t="s">
        <v>114</v>
      </c>
      <c r="L12" s="204" t="s">
        <v>114</v>
      </c>
    </row>
    <row r="13" spans="1:12" ht="44" thickBot="1" x14ac:dyDescent="0.4">
      <c r="A13" s="205" t="s">
        <v>238</v>
      </c>
      <c r="B13" s="225" t="s">
        <v>239</v>
      </c>
      <c r="C13" s="207" t="s">
        <v>56</v>
      </c>
      <c r="D13" s="208">
        <v>50000</v>
      </c>
      <c r="E13" s="208">
        <v>25000</v>
      </c>
      <c r="F13" s="208">
        <v>50000</v>
      </c>
      <c r="G13" s="208" t="s">
        <v>233</v>
      </c>
      <c r="H13" s="208">
        <v>1000000</v>
      </c>
      <c r="I13" s="208">
        <v>5000000</v>
      </c>
      <c r="J13" s="208">
        <v>10000</v>
      </c>
      <c r="K13" s="208">
        <v>5000</v>
      </c>
      <c r="L13" s="209">
        <v>10000</v>
      </c>
    </row>
    <row r="14" spans="1:12" ht="15" thickBot="1" x14ac:dyDescent="0.4">
      <c r="A14" s="210"/>
      <c r="B14" s="226" t="s">
        <v>239</v>
      </c>
      <c r="C14" s="10" t="s">
        <v>57</v>
      </c>
      <c r="D14" s="212">
        <v>100000</v>
      </c>
      <c r="E14" s="212">
        <v>100000</v>
      </c>
      <c r="F14" s="212">
        <v>100000</v>
      </c>
      <c r="G14" s="212" t="s">
        <v>233</v>
      </c>
      <c r="H14" s="212">
        <v>1000000</v>
      </c>
      <c r="I14" s="212">
        <v>5000000</v>
      </c>
      <c r="J14" s="212">
        <v>10000</v>
      </c>
      <c r="K14" s="212">
        <v>5000</v>
      </c>
      <c r="L14" s="213">
        <v>10000</v>
      </c>
    </row>
    <row r="15" spans="1:12" ht="15" thickBot="1" x14ac:dyDescent="0.4">
      <c r="A15" s="214"/>
      <c r="B15" s="227" t="s">
        <v>239</v>
      </c>
      <c r="C15" s="216" t="s">
        <v>58</v>
      </c>
      <c r="D15" s="217" t="s">
        <v>114</v>
      </c>
      <c r="E15" s="217" t="s">
        <v>114</v>
      </c>
      <c r="F15" s="217" t="s">
        <v>114</v>
      </c>
      <c r="G15" s="217" t="s">
        <v>114</v>
      </c>
      <c r="H15" s="217" t="s">
        <v>114</v>
      </c>
      <c r="I15" s="217" t="s">
        <v>114</v>
      </c>
      <c r="J15" s="217" t="s">
        <v>114</v>
      </c>
      <c r="K15" s="217" t="s">
        <v>114</v>
      </c>
      <c r="L15" s="217" t="s">
        <v>114</v>
      </c>
    </row>
    <row r="16" spans="1:12" ht="43.5" x14ac:dyDescent="0.35">
      <c r="A16" s="190" t="s">
        <v>240</v>
      </c>
      <c r="B16" s="191" t="s">
        <v>241</v>
      </c>
      <c r="C16" s="220" t="s">
        <v>56</v>
      </c>
      <c r="D16" s="193">
        <v>50000</v>
      </c>
      <c r="E16" s="193">
        <v>25000</v>
      </c>
      <c r="F16" s="193">
        <v>50000</v>
      </c>
      <c r="G16" s="193" t="s">
        <v>233</v>
      </c>
      <c r="H16" s="193">
        <v>1000000</v>
      </c>
      <c r="I16" s="193">
        <v>5000000</v>
      </c>
      <c r="J16" s="193">
        <v>10000</v>
      </c>
      <c r="K16" s="193">
        <v>5000</v>
      </c>
      <c r="L16" s="194">
        <v>10000</v>
      </c>
    </row>
    <row r="17" spans="1:12" x14ac:dyDescent="0.35">
      <c r="A17" s="195"/>
      <c r="B17" s="228" t="str">
        <f>B16</f>
        <v>USD RESERVE (DDA)</v>
      </c>
      <c r="C17" s="222" t="s">
        <v>57</v>
      </c>
      <c r="D17" s="198">
        <v>100000</v>
      </c>
      <c r="E17" s="198">
        <v>100000</v>
      </c>
      <c r="F17" s="198">
        <v>100000</v>
      </c>
      <c r="G17" s="198" t="s">
        <v>233</v>
      </c>
      <c r="H17" s="198">
        <v>1000000</v>
      </c>
      <c r="I17" s="198">
        <v>5000000</v>
      </c>
      <c r="J17" s="198">
        <v>10000</v>
      </c>
      <c r="K17" s="198">
        <v>5000</v>
      </c>
      <c r="L17" s="199">
        <v>10000</v>
      </c>
    </row>
    <row r="18" spans="1:12" ht="15" thickBot="1" x14ac:dyDescent="0.4">
      <c r="A18" s="200"/>
      <c r="B18" s="229" t="str">
        <f>B17</f>
        <v>USD RESERVE (DDA)</v>
      </c>
      <c r="C18" s="224" t="s">
        <v>58</v>
      </c>
      <c r="D18" s="203" t="s">
        <v>114</v>
      </c>
      <c r="E18" s="203" t="s">
        <v>114</v>
      </c>
      <c r="F18" s="203" t="s">
        <v>114</v>
      </c>
      <c r="G18" s="203" t="s">
        <v>114</v>
      </c>
      <c r="H18" s="203" t="s">
        <v>114</v>
      </c>
      <c r="I18" s="203" t="s">
        <v>114</v>
      </c>
      <c r="J18" s="203" t="s">
        <v>114</v>
      </c>
      <c r="K18" s="203" t="s">
        <v>114</v>
      </c>
      <c r="L18" s="204" t="s">
        <v>114</v>
      </c>
    </row>
    <row r="19" spans="1:12" ht="44" hidden="1" thickBot="1" x14ac:dyDescent="0.4">
      <c r="A19" s="205" t="s">
        <v>242</v>
      </c>
      <c r="B19" s="206" t="s">
        <v>243</v>
      </c>
      <c r="C19" s="207" t="s">
        <v>56</v>
      </c>
      <c r="D19" s="208">
        <v>50000</v>
      </c>
      <c r="E19" s="208">
        <v>25000</v>
      </c>
      <c r="F19" s="208">
        <v>50000</v>
      </c>
      <c r="G19" s="208" t="s">
        <v>233</v>
      </c>
      <c r="H19" s="208">
        <v>1000000</v>
      </c>
      <c r="I19" s="208">
        <v>5000000</v>
      </c>
      <c r="J19" s="208">
        <v>10000</v>
      </c>
      <c r="K19" s="208">
        <v>5000</v>
      </c>
      <c r="L19" s="209">
        <v>10000</v>
      </c>
    </row>
    <row r="20" spans="1:12" ht="29.5" hidden="1" thickBot="1" x14ac:dyDescent="0.4">
      <c r="A20" s="210"/>
      <c r="B20" s="230" t="s">
        <v>243</v>
      </c>
      <c r="C20" s="10" t="s">
        <v>57</v>
      </c>
      <c r="D20" s="212">
        <v>100000</v>
      </c>
      <c r="E20" s="212">
        <v>100000</v>
      </c>
      <c r="F20" s="212">
        <v>100000</v>
      </c>
      <c r="G20" s="212" t="s">
        <v>233</v>
      </c>
      <c r="H20" s="212">
        <v>1000000</v>
      </c>
      <c r="I20" s="212">
        <v>5000000</v>
      </c>
      <c r="J20" s="212">
        <v>10000</v>
      </c>
      <c r="K20" s="212">
        <v>5000</v>
      </c>
      <c r="L20" s="213">
        <v>10000</v>
      </c>
    </row>
    <row r="21" spans="1:12" ht="29.5" hidden="1" thickBot="1" x14ac:dyDescent="0.4">
      <c r="A21" s="214"/>
      <c r="B21" s="231" t="s">
        <v>243</v>
      </c>
      <c r="C21" s="216" t="s">
        <v>58</v>
      </c>
      <c r="D21" s="217" t="s">
        <v>114</v>
      </c>
      <c r="E21" s="217" t="s">
        <v>114</v>
      </c>
      <c r="F21" s="217" t="s">
        <v>114</v>
      </c>
      <c r="G21" s="217" t="s">
        <v>114</v>
      </c>
      <c r="H21" s="217" t="s">
        <v>114</v>
      </c>
      <c r="I21" s="217" t="s">
        <v>114</v>
      </c>
      <c r="J21" s="217" t="s">
        <v>114</v>
      </c>
      <c r="K21" s="217" t="s">
        <v>114</v>
      </c>
      <c r="L21" s="218" t="s">
        <v>114</v>
      </c>
    </row>
    <row r="22" spans="1:12" ht="44" hidden="1" thickBot="1" x14ac:dyDescent="0.4">
      <c r="A22" s="190" t="s">
        <v>244</v>
      </c>
      <c r="B22" s="219" t="s">
        <v>245</v>
      </c>
      <c r="C22" s="220" t="s">
        <v>56</v>
      </c>
      <c r="D22" s="193">
        <v>50000</v>
      </c>
      <c r="E22" s="193">
        <v>25000</v>
      </c>
      <c r="F22" s="193">
        <v>50000</v>
      </c>
      <c r="G22" s="193" t="s">
        <v>233</v>
      </c>
      <c r="H22" s="193">
        <v>1000000</v>
      </c>
      <c r="I22" s="193">
        <v>5000000</v>
      </c>
      <c r="J22" s="193">
        <v>10000</v>
      </c>
      <c r="K22" s="193">
        <v>5000</v>
      </c>
      <c r="L22" s="194">
        <v>10000</v>
      </c>
    </row>
    <row r="23" spans="1:12" ht="29.5" hidden="1" thickBot="1" x14ac:dyDescent="0.4">
      <c r="A23" s="195"/>
      <c r="B23" s="221" t="s">
        <v>245</v>
      </c>
      <c r="C23" s="222" t="s">
        <v>57</v>
      </c>
      <c r="D23" s="198">
        <v>100000</v>
      </c>
      <c r="E23" s="198">
        <v>100000</v>
      </c>
      <c r="F23" s="198">
        <v>100000</v>
      </c>
      <c r="G23" s="198" t="s">
        <v>233</v>
      </c>
      <c r="H23" s="198">
        <v>1000000</v>
      </c>
      <c r="I23" s="198">
        <v>5000000</v>
      </c>
      <c r="J23" s="198">
        <v>10000</v>
      </c>
      <c r="K23" s="198">
        <v>5000</v>
      </c>
      <c r="L23" s="199">
        <v>10000</v>
      </c>
    </row>
    <row r="24" spans="1:12" ht="29.5" hidden="1" thickBot="1" x14ac:dyDescent="0.4">
      <c r="A24" s="200"/>
      <c r="B24" s="223" t="s">
        <v>245</v>
      </c>
      <c r="C24" s="224" t="s">
        <v>58</v>
      </c>
      <c r="D24" s="203" t="s">
        <v>114</v>
      </c>
      <c r="E24" s="203" t="s">
        <v>114</v>
      </c>
      <c r="F24" s="203" t="s">
        <v>114</v>
      </c>
      <c r="G24" s="203" t="s">
        <v>114</v>
      </c>
      <c r="H24" s="203" t="s">
        <v>114</v>
      </c>
      <c r="I24" s="203" t="s">
        <v>114</v>
      </c>
      <c r="J24" s="203" t="s">
        <v>114</v>
      </c>
      <c r="K24" s="203" t="s">
        <v>114</v>
      </c>
      <c r="L24" s="204" t="s">
        <v>114</v>
      </c>
    </row>
    <row r="25" spans="1:12" ht="29.5" thickBot="1" x14ac:dyDescent="0.4">
      <c r="A25" s="205" t="s">
        <v>246</v>
      </c>
      <c r="B25" s="206" t="s">
        <v>247</v>
      </c>
      <c r="C25" s="207" t="s">
        <v>56</v>
      </c>
      <c r="D25" s="208">
        <v>50000</v>
      </c>
      <c r="E25" s="208">
        <v>25000</v>
      </c>
      <c r="F25" s="208">
        <v>50000</v>
      </c>
      <c r="G25" s="208" t="s">
        <v>233</v>
      </c>
      <c r="H25" s="208">
        <v>1000000</v>
      </c>
      <c r="I25" s="208">
        <v>5000000</v>
      </c>
      <c r="J25" s="208">
        <v>10000</v>
      </c>
      <c r="K25" s="208">
        <v>5000</v>
      </c>
      <c r="L25" s="209">
        <v>10000</v>
      </c>
    </row>
    <row r="26" spans="1:12" ht="29.5" thickBot="1" x14ac:dyDescent="0.4">
      <c r="A26" s="210"/>
      <c r="B26" s="230" t="s">
        <v>247</v>
      </c>
      <c r="C26" s="10" t="s">
        <v>57</v>
      </c>
      <c r="D26" s="212">
        <v>100000</v>
      </c>
      <c r="E26" s="212">
        <v>100000</v>
      </c>
      <c r="F26" s="212">
        <v>100000</v>
      </c>
      <c r="G26" s="212" t="s">
        <v>233</v>
      </c>
      <c r="H26" s="212">
        <v>1000000</v>
      </c>
      <c r="I26" s="212">
        <v>5000000</v>
      </c>
      <c r="J26" s="212">
        <v>10000</v>
      </c>
      <c r="K26" s="212">
        <v>5000</v>
      </c>
      <c r="L26" s="213">
        <v>10000</v>
      </c>
    </row>
    <row r="27" spans="1:12" ht="29.5" thickBot="1" x14ac:dyDescent="0.4">
      <c r="A27" s="214"/>
      <c r="B27" s="231" t="s">
        <v>247</v>
      </c>
      <c r="C27" s="216" t="s">
        <v>58</v>
      </c>
      <c r="D27" s="217" t="s">
        <v>114</v>
      </c>
      <c r="E27" s="217" t="s">
        <v>114</v>
      </c>
      <c r="F27" s="217" t="s">
        <v>114</v>
      </c>
      <c r="G27" s="217" t="s">
        <v>114</v>
      </c>
      <c r="H27" s="217" t="s">
        <v>114</v>
      </c>
      <c r="I27" s="217" t="s">
        <v>114</v>
      </c>
      <c r="J27" s="217" t="s">
        <v>114</v>
      </c>
      <c r="K27" s="217" t="s">
        <v>114</v>
      </c>
      <c r="L27" s="218" t="s">
        <v>114</v>
      </c>
    </row>
  </sheetData>
  <mergeCells count="4">
    <mergeCell ref="B1:L1"/>
    <mergeCell ref="E2:F2"/>
    <mergeCell ref="H2:I2"/>
    <mergeCell ref="K2:L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10885-3DE6-4B7E-8BC9-8006724B5859}">
  <dimension ref="A1:H113"/>
  <sheetViews>
    <sheetView workbookViewId="0">
      <selection activeCell="C12" sqref="C12"/>
    </sheetView>
  </sheetViews>
  <sheetFormatPr defaultColWidth="8.81640625" defaultRowHeight="14.5" x14ac:dyDescent="0.35"/>
  <cols>
    <col min="1" max="1" width="5.81640625" customWidth="1"/>
    <col min="2" max="2" width="24.54296875" customWidth="1"/>
    <col min="3" max="3" width="49" customWidth="1"/>
    <col min="4" max="4" width="37.1796875" customWidth="1"/>
    <col min="5" max="5" width="20.453125" customWidth="1"/>
    <col min="6" max="6" width="22.26953125" customWidth="1"/>
    <col min="7" max="7" width="26.1796875" customWidth="1"/>
    <col min="8" max="8" width="36" customWidth="1"/>
  </cols>
  <sheetData>
    <row r="1" spans="1:8" ht="19" customHeight="1" x14ac:dyDescent="0.45">
      <c r="A1" s="107">
        <v>1</v>
      </c>
      <c r="B1" s="232" t="str">
        <f>'[1]Product Type Configuration'!D3</f>
        <v>SAVINGS PERSONAL-FINTECH</v>
      </c>
      <c r="C1" s="139"/>
      <c r="D1" s="139"/>
      <c r="E1" s="139"/>
      <c r="F1" s="139"/>
      <c r="G1" s="139"/>
      <c r="H1" s="139"/>
    </row>
    <row r="2" spans="1:8" ht="46" x14ac:dyDescent="0.35">
      <c r="A2" s="1" t="s">
        <v>60</v>
      </c>
      <c r="B2" s="1" t="s">
        <v>61</v>
      </c>
      <c r="C2" s="2" t="s">
        <v>62</v>
      </c>
      <c r="D2" s="2" t="s">
        <v>63</v>
      </c>
      <c r="E2" s="54" t="s">
        <v>64</v>
      </c>
      <c r="F2" s="54" t="s">
        <v>65</v>
      </c>
      <c r="G2" s="54" t="s">
        <v>64</v>
      </c>
      <c r="H2" s="54" t="s">
        <v>66</v>
      </c>
    </row>
    <row r="3" spans="1:8" ht="18.5" x14ac:dyDescent="0.35">
      <c r="A3" s="3">
        <v>1</v>
      </c>
      <c r="B3" s="3" t="s">
        <v>67</v>
      </c>
      <c r="C3" s="4" t="s">
        <v>68</v>
      </c>
      <c r="D3" s="4" t="s">
        <v>69</v>
      </c>
      <c r="E3" s="4" t="s">
        <v>202</v>
      </c>
      <c r="F3" s="4">
        <v>0.25</v>
      </c>
      <c r="G3" s="4" t="s">
        <v>202</v>
      </c>
      <c r="H3" s="3">
        <v>0.5</v>
      </c>
    </row>
    <row r="4" spans="1:8" ht="55.5" x14ac:dyDescent="0.35">
      <c r="A4" s="5">
        <v>2</v>
      </c>
      <c r="B4" s="5" t="s">
        <v>67</v>
      </c>
      <c r="C4" s="6" t="s">
        <v>70</v>
      </c>
      <c r="D4" s="7" t="s">
        <v>71</v>
      </c>
      <c r="E4" s="4" t="s">
        <v>202</v>
      </c>
      <c r="F4" s="4">
        <v>5</v>
      </c>
      <c r="G4" s="4" t="s">
        <v>114</v>
      </c>
      <c r="H4" s="3" t="s">
        <v>114</v>
      </c>
    </row>
    <row r="5" spans="1:8" ht="37" x14ac:dyDescent="0.35">
      <c r="A5" s="3">
        <v>3</v>
      </c>
      <c r="B5" s="5" t="s">
        <v>67</v>
      </c>
      <c r="C5" s="6" t="s">
        <v>248</v>
      </c>
      <c r="D5" s="7" t="s">
        <v>249</v>
      </c>
      <c r="E5" s="4" t="s">
        <v>202</v>
      </c>
      <c r="F5" s="4">
        <v>10</v>
      </c>
      <c r="G5" s="4" t="s">
        <v>200</v>
      </c>
      <c r="H5" s="3">
        <v>10</v>
      </c>
    </row>
    <row r="6" spans="1:8" ht="37" x14ac:dyDescent="0.35">
      <c r="A6" s="5">
        <v>4</v>
      </c>
      <c r="B6" s="3" t="s">
        <v>72</v>
      </c>
      <c r="C6" s="4" t="s">
        <v>73</v>
      </c>
      <c r="D6" s="4" t="s">
        <v>74</v>
      </c>
      <c r="E6" s="4" t="s">
        <v>202</v>
      </c>
      <c r="F6" s="4">
        <v>0.15</v>
      </c>
      <c r="G6" s="4" t="s">
        <v>200</v>
      </c>
      <c r="H6" s="3">
        <v>0.25</v>
      </c>
    </row>
    <row r="7" spans="1:8" ht="18.5" x14ac:dyDescent="0.35">
      <c r="A7" s="3">
        <v>5</v>
      </c>
      <c r="B7" s="3" t="s">
        <v>72</v>
      </c>
      <c r="C7" s="4" t="s">
        <v>75</v>
      </c>
      <c r="D7" s="4" t="s">
        <v>76</v>
      </c>
      <c r="E7" s="4" t="s">
        <v>202</v>
      </c>
      <c r="F7" s="4">
        <v>0.15</v>
      </c>
      <c r="G7" s="4" t="s">
        <v>200</v>
      </c>
      <c r="H7" s="3">
        <v>0.25</v>
      </c>
    </row>
    <row r="8" spans="1:8" ht="37" x14ac:dyDescent="0.35">
      <c r="A8" s="5">
        <v>6</v>
      </c>
      <c r="B8" s="3" t="s">
        <v>72</v>
      </c>
      <c r="C8" s="4" t="s">
        <v>77</v>
      </c>
      <c r="D8" s="4" t="s">
        <v>78</v>
      </c>
      <c r="E8" s="4" t="s">
        <v>202</v>
      </c>
      <c r="F8" s="4">
        <v>0.25</v>
      </c>
      <c r="G8" s="4" t="s">
        <v>200</v>
      </c>
      <c r="H8" s="3">
        <v>0.5</v>
      </c>
    </row>
    <row r="9" spans="1:8" ht="37" x14ac:dyDescent="0.35">
      <c r="A9" s="3">
        <v>7</v>
      </c>
      <c r="B9" s="3" t="s">
        <v>72</v>
      </c>
      <c r="C9" s="4" t="s">
        <v>79</v>
      </c>
      <c r="D9" s="4" t="s">
        <v>80</v>
      </c>
      <c r="E9" s="4" t="s">
        <v>202</v>
      </c>
      <c r="F9" s="4">
        <v>2</v>
      </c>
      <c r="G9" s="4" t="s">
        <v>200</v>
      </c>
      <c r="H9" s="3">
        <v>10</v>
      </c>
    </row>
    <row r="10" spans="1:8" ht="37" x14ac:dyDescent="0.35">
      <c r="A10" s="5">
        <v>8</v>
      </c>
      <c r="B10" s="3" t="s">
        <v>72</v>
      </c>
      <c r="C10" s="4" t="s">
        <v>81</v>
      </c>
      <c r="D10" s="4" t="s">
        <v>82</v>
      </c>
      <c r="E10" s="4" t="s">
        <v>202</v>
      </c>
      <c r="F10" s="4">
        <v>2</v>
      </c>
      <c r="G10" s="4" t="s">
        <v>200</v>
      </c>
      <c r="H10" s="3">
        <v>10</v>
      </c>
    </row>
    <row r="11" spans="1:8" ht="18.5" x14ac:dyDescent="0.35">
      <c r="A11" s="3">
        <v>9</v>
      </c>
      <c r="B11" s="3" t="s">
        <v>72</v>
      </c>
      <c r="C11" s="4" t="s">
        <v>83</v>
      </c>
      <c r="D11" s="4" t="s">
        <v>84</v>
      </c>
      <c r="E11" s="4" t="s">
        <v>202</v>
      </c>
      <c r="F11" s="4">
        <v>2</v>
      </c>
      <c r="G11" s="4" t="s">
        <v>200</v>
      </c>
      <c r="H11" s="3">
        <v>10</v>
      </c>
    </row>
    <row r="12" spans="1:8" ht="37" x14ac:dyDescent="0.35">
      <c r="A12" s="5">
        <v>10</v>
      </c>
      <c r="B12" s="3" t="s">
        <v>72</v>
      </c>
      <c r="C12" s="4" t="s">
        <v>85</v>
      </c>
      <c r="D12" s="4" t="s">
        <v>86</v>
      </c>
      <c r="E12" s="4" t="s">
        <v>202</v>
      </c>
      <c r="F12" s="4">
        <v>2</v>
      </c>
      <c r="G12" s="4" t="s">
        <v>200</v>
      </c>
      <c r="H12" s="3">
        <v>10</v>
      </c>
    </row>
    <row r="13" spans="1:8" ht="37" x14ac:dyDescent="0.35">
      <c r="A13" s="3">
        <v>11</v>
      </c>
      <c r="B13" s="3" t="s">
        <v>72</v>
      </c>
      <c r="C13" s="4" t="s">
        <v>250</v>
      </c>
      <c r="D13" s="4" t="s">
        <v>251</v>
      </c>
      <c r="E13" s="4" t="s">
        <v>202</v>
      </c>
      <c r="F13" s="4">
        <v>12</v>
      </c>
      <c r="G13" s="4" t="s">
        <v>200</v>
      </c>
      <c r="H13" s="3">
        <v>12</v>
      </c>
    </row>
    <row r="14" spans="1:8" ht="18.5" x14ac:dyDescent="0.35">
      <c r="A14" s="5">
        <v>12</v>
      </c>
      <c r="B14" s="3" t="s">
        <v>87</v>
      </c>
      <c r="C14" s="4" t="s">
        <v>88</v>
      </c>
      <c r="D14" s="4" t="s">
        <v>89</v>
      </c>
      <c r="E14" s="4" t="s">
        <v>202</v>
      </c>
      <c r="F14" s="4">
        <v>8</v>
      </c>
      <c r="G14" s="4" t="s">
        <v>200</v>
      </c>
      <c r="H14" s="3">
        <v>15</v>
      </c>
    </row>
    <row r="15" spans="1:8" ht="18.5" x14ac:dyDescent="0.35">
      <c r="A15" s="3">
        <v>13</v>
      </c>
      <c r="B15" s="3" t="s">
        <v>87</v>
      </c>
      <c r="C15" s="4" t="s">
        <v>90</v>
      </c>
      <c r="D15" s="4" t="s">
        <v>91</v>
      </c>
      <c r="E15" s="4" t="s">
        <v>202</v>
      </c>
      <c r="F15" s="4">
        <v>5</v>
      </c>
      <c r="G15" s="4" t="s">
        <v>200</v>
      </c>
      <c r="H15" s="3">
        <v>15</v>
      </c>
    </row>
    <row r="16" spans="1:8" ht="18.5" x14ac:dyDescent="0.35">
      <c r="A16" s="5">
        <v>14</v>
      </c>
      <c r="B16" s="3" t="s">
        <v>87</v>
      </c>
      <c r="C16" s="4" t="s">
        <v>92</v>
      </c>
      <c r="D16" s="4" t="s">
        <v>93</v>
      </c>
      <c r="E16" s="4" t="s">
        <v>202</v>
      </c>
      <c r="F16" s="4">
        <v>8</v>
      </c>
      <c r="G16" s="4" t="s">
        <v>200</v>
      </c>
      <c r="H16" s="3">
        <v>25</v>
      </c>
    </row>
    <row r="17" spans="1:8" ht="37" x14ac:dyDescent="0.35">
      <c r="A17" s="3">
        <v>15</v>
      </c>
      <c r="B17" s="3" t="s">
        <v>94</v>
      </c>
      <c r="C17" s="4" t="s">
        <v>95</v>
      </c>
      <c r="D17" s="4" t="s">
        <v>96</v>
      </c>
      <c r="E17" s="4" t="s">
        <v>202</v>
      </c>
      <c r="F17" s="4">
        <v>0.3</v>
      </c>
      <c r="G17" s="4" t="s">
        <v>200</v>
      </c>
      <c r="H17" s="3">
        <v>1</v>
      </c>
    </row>
    <row r="18" spans="1:8" ht="18.5" x14ac:dyDescent="0.35">
      <c r="A18" s="5">
        <v>16</v>
      </c>
      <c r="B18" s="3" t="s">
        <v>94</v>
      </c>
      <c r="C18" s="4" t="s">
        <v>97</v>
      </c>
      <c r="D18" s="4" t="s">
        <v>98</v>
      </c>
      <c r="E18" s="4" t="s">
        <v>202</v>
      </c>
      <c r="F18" s="4">
        <v>0.3</v>
      </c>
      <c r="G18" s="4" t="s">
        <v>200</v>
      </c>
      <c r="H18" s="3">
        <v>0</v>
      </c>
    </row>
    <row r="19" spans="1:8" ht="18.5" x14ac:dyDescent="0.35">
      <c r="A19" s="3">
        <v>17</v>
      </c>
      <c r="B19" s="3" t="s">
        <v>94</v>
      </c>
      <c r="C19" s="4" t="s">
        <v>252</v>
      </c>
      <c r="D19" s="4" t="s">
        <v>98</v>
      </c>
      <c r="E19" s="4" t="s">
        <v>202</v>
      </c>
      <c r="F19" s="4">
        <v>2</v>
      </c>
      <c r="G19" s="4" t="s">
        <v>200</v>
      </c>
      <c r="H19" s="3">
        <v>5</v>
      </c>
    </row>
    <row r="20" spans="1:8" ht="37" x14ac:dyDescent="0.35">
      <c r="A20" s="5">
        <v>18</v>
      </c>
      <c r="B20" s="3" t="s">
        <v>253</v>
      </c>
      <c r="C20" s="4" t="s">
        <v>254</v>
      </c>
      <c r="D20" s="4" t="s">
        <v>255</v>
      </c>
      <c r="E20" s="4" t="s">
        <v>256</v>
      </c>
      <c r="F20" s="4">
        <v>45000</v>
      </c>
      <c r="G20" s="4" t="s">
        <v>114</v>
      </c>
      <c r="H20" s="3" t="s">
        <v>114</v>
      </c>
    </row>
    <row r="21" spans="1:8" ht="18.5" x14ac:dyDescent="0.35">
      <c r="A21" s="3">
        <v>19</v>
      </c>
      <c r="B21" s="3" t="s">
        <v>253</v>
      </c>
      <c r="C21" s="4" t="s">
        <v>257</v>
      </c>
      <c r="D21" s="4" t="s">
        <v>258</v>
      </c>
      <c r="E21" s="4" t="s">
        <v>202</v>
      </c>
      <c r="F21" s="4">
        <v>15000</v>
      </c>
      <c r="G21" s="4" t="s">
        <v>114</v>
      </c>
      <c r="H21" s="3" t="s">
        <v>114</v>
      </c>
    </row>
    <row r="24" spans="1:8" ht="18.5" x14ac:dyDescent="0.45">
      <c r="A24" s="233" t="s">
        <v>259</v>
      </c>
      <c r="B24" s="232" t="str">
        <f>'[1]Product Type Configuration'!D6</f>
        <v>PERSONAL IB-FINTECH</v>
      </c>
      <c r="C24" s="139"/>
      <c r="D24" s="139"/>
      <c r="E24" s="139"/>
      <c r="F24" s="139"/>
      <c r="G24" s="139"/>
      <c r="H24" s="139"/>
    </row>
    <row r="25" spans="1:8" ht="46" x14ac:dyDescent="0.35">
      <c r="A25" s="1" t="s">
        <v>60</v>
      </c>
      <c r="B25" s="1" t="s">
        <v>61</v>
      </c>
      <c r="C25" s="2" t="s">
        <v>62</v>
      </c>
      <c r="D25" s="2" t="s">
        <v>63</v>
      </c>
      <c r="E25" s="54" t="s">
        <v>64</v>
      </c>
      <c r="F25" s="54" t="s">
        <v>65</v>
      </c>
      <c r="G25" s="54" t="s">
        <v>64</v>
      </c>
      <c r="H25" s="54" t="s">
        <v>66</v>
      </c>
    </row>
    <row r="26" spans="1:8" ht="18.5" x14ac:dyDescent="0.35">
      <c r="A26" s="3">
        <v>1</v>
      </c>
      <c r="B26" s="3" t="s">
        <v>67</v>
      </c>
      <c r="C26" s="4" t="s">
        <v>68</v>
      </c>
      <c r="D26" s="4" t="s">
        <v>69</v>
      </c>
      <c r="E26" s="4" t="s">
        <v>202</v>
      </c>
      <c r="F26" s="4">
        <f>F3+0.1</f>
        <v>0.35</v>
      </c>
      <c r="G26" s="4" t="s">
        <v>202</v>
      </c>
      <c r="H26" s="4">
        <f>H3+0.1</f>
        <v>0.6</v>
      </c>
    </row>
    <row r="27" spans="1:8" ht="55.5" x14ac:dyDescent="0.35">
      <c r="A27" s="5">
        <v>2</v>
      </c>
      <c r="B27" s="5" t="s">
        <v>67</v>
      </c>
      <c r="C27" s="6" t="s">
        <v>70</v>
      </c>
      <c r="D27" s="7" t="s">
        <v>71</v>
      </c>
      <c r="E27" s="4" t="s">
        <v>202</v>
      </c>
      <c r="F27" s="4">
        <f t="shared" ref="F27:H42" si="0">F4+0.1</f>
        <v>5.0999999999999996</v>
      </c>
      <c r="G27" s="4" t="s">
        <v>114</v>
      </c>
      <c r="H27" s="3" t="s">
        <v>114</v>
      </c>
    </row>
    <row r="28" spans="1:8" ht="37" x14ac:dyDescent="0.35">
      <c r="A28" s="3">
        <v>3</v>
      </c>
      <c r="B28" s="5" t="s">
        <v>67</v>
      </c>
      <c r="C28" s="6" t="s">
        <v>248</v>
      </c>
      <c r="D28" s="7" t="s">
        <v>249</v>
      </c>
      <c r="E28" s="4" t="s">
        <v>202</v>
      </c>
      <c r="F28" s="4">
        <f t="shared" si="0"/>
        <v>10.1</v>
      </c>
      <c r="G28" s="4" t="s">
        <v>200</v>
      </c>
      <c r="H28" s="4">
        <f t="shared" si="0"/>
        <v>10.1</v>
      </c>
    </row>
    <row r="29" spans="1:8" ht="37" x14ac:dyDescent="0.35">
      <c r="A29" s="5">
        <v>4</v>
      </c>
      <c r="B29" s="3" t="s">
        <v>72</v>
      </c>
      <c r="C29" s="4" t="s">
        <v>73</v>
      </c>
      <c r="D29" s="4" t="s">
        <v>74</v>
      </c>
      <c r="E29" s="4" t="s">
        <v>202</v>
      </c>
      <c r="F29" s="4">
        <f t="shared" si="0"/>
        <v>0.25</v>
      </c>
      <c r="G29" s="4" t="s">
        <v>200</v>
      </c>
      <c r="H29" s="4">
        <f t="shared" si="0"/>
        <v>0.35</v>
      </c>
    </row>
    <row r="30" spans="1:8" ht="18.5" x14ac:dyDescent="0.35">
      <c r="A30" s="3">
        <v>5</v>
      </c>
      <c r="B30" s="3" t="s">
        <v>72</v>
      </c>
      <c r="C30" s="4" t="s">
        <v>75</v>
      </c>
      <c r="D30" s="4" t="s">
        <v>76</v>
      </c>
      <c r="E30" s="4" t="s">
        <v>202</v>
      </c>
      <c r="F30" s="4">
        <f t="shared" si="0"/>
        <v>0.25</v>
      </c>
      <c r="G30" s="4" t="s">
        <v>200</v>
      </c>
      <c r="H30" s="4">
        <f t="shared" si="0"/>
        <v>0.35</v>
      </c>
    </row>
    <row r="31" spans="1:8" ht="37" x14ac:dyDescent="0.35">
      <c r="A31" s="5">
        <v>6</v>
      </c>
      <c r="B31" s="3" t="s">
        <v>72</v>
      </c>
      <c r="C31" s="4" t="s">
        <v>77</v>
      </c>
      <c r="D31" s="4" t="s">
        <v>78</v>
      </c>
      <c r="E31" s="4" t="s">
        <v>202</v>
      </c>
      <c r="F31" s="4">
        <f t="shared" si="0"/>
        <v>0.35</v>
      </c>
      <c r="G31" s="4" t="s">
        <v>200</v>
      </c>
      <c r="H31" s="4">
        <f t="shared" si="0"/>
        <v>0.6</v>
      </c>
    </row>
    <row r="32" spans="1:8" ht="37" x14ac:dyDescent="0.35">
      <c r="A32" s="3">
        <v>7</v>
      </c>
      <c r="B32" s="3" t="s">
        <v>72</v>
      </c>
      <c r="C32" s="4" t="s">
        <v>79</v>
      </c>
      <c r="D32" s="4" t="s">
        <v>80</v>
      </c>
      <c r="E32" s="4" t="s">
        <v>202</v>
      </c>
      <c r="F32" s="4">
        <f t="shared" si="0"/>
        <v>2.1</v>
      </c>
      <c r="G32" s="4" t="s">
        <v>200</v>
      </c>
      <c r="H32" s="4">
        <f t="shared" si="0"/>
        <v>10.1</v>
      </c>
    </row>
    <row r="33" spans="1:8" ht="37" x14ac:dyDescent="0.35">
      <c r="A33" s="5">
        <v>8</v>
      </c>
      <c r="B33" s="3" t="s">
        <v>72</v>
      </c>
      <c r="C33" s="4" t="s">
        <v>81</v>
      </c>
      <c r="D33" s="4" t="s">
        <v>82</v>
      </c>
      <c r="E33" s="4" t="s">
        <v>202</v>
      </c>
      <c r="F33" s="4">
        <f t="shared" si="0"/>
        <v>2.1</v>
      </c>
      <c r="G33" s="4" t="s">
        <v>200</v>
      </c>
      <c r="H33" s="4">
        <f t="shared" si="0"/>
        <v>10.1</v>
      </c>
    </row>
    <row r="34" spans="1:8" ht="18.5" x14ac:dyDescent="0.35">
      <c r="A34" s="3">
        <v>9</v>
      </c>
      <c r="B34" s="3" t="s">
        <v>72</v>
      </c>
      <c r="C34" s="4" t="s">
        <v>83</v>
      </c>
      <c r="D34" s="4" t="s">
        <v>84</v>
      </c>
      <c r="E34" s="4" t="s">
        <v>202</v>
      </c>
      <c r="F34" s="4">
        <f t="shared" si="0"/>
        <v>2.1</v>
      </c>
      <c r="G34" s="4" t="s">
        <v>200</v>
      </c>
      <c r="H34" s="4">
        <f t="shared" si="0"/>
        <v>10.1</v>
      </c>
    </row>
    <row r="35" spans="1:8" ht="37" x14ac:dyDescent="0.35">
      <c r="A35" s="5">
        <v>10</v>
      </c>
      <c r="B35" s="3" t="s">
        <v>72</v>
      </c>
      <c r="C35" s="4" t="s">
        <v>85</v>
      </c>
      <c r="D35" s="4" t="s">
        <v>86</v>
      </c>
      <c r="E35" s="4" t="s">
        <v>202</v>
      </c>
      <c r="F35" s="4">
        <f t="shared" si="0"/>
        <v>2.1</v>
      </c>
      <c r="G35" s="4" t="s">
        <v>200</v>
      </c>
      <c r="H35" s="4">
        <f t="shared" si="0"/>
        <v>10.1</v>
      </c>
    </row>
    <row r="36" spans="1:8" ht="37" x14ac:dyDescent="0.35">
      <c r="A36" s="3">
        <v>11</v>
      </c>
      <c r="B36" s="3" t="s">
        <v>72</v>
      </c>
      <c r="C36" s="4" t="s">
        <v>250</v>
      </c>
      <c r="D36" s="4" t="s">
        <v>251</v>
      </c>
      <c r="E36" s="4" t="s">
        <v>202</v>
      </c>
      <c r="F36" s="4">
        <f t="shared" si="0"/>
        <v>12.1</v>
      </c>
      <c r="G36" s="4" t="s">
        <v>200</v>
      </c>
      <c r="H36" s="4">
        <f t="shared" si="0"/>
        <v>12.1</v>
      </c>
    </row>
    <row r="37" spans="1:8" ht="18.5" x14ac:dyDescent="0.35">
      <c r="A37" s="5">
        <v>12</v>
      </c>
      <c r="B37" s="3" t="s">
        <v>87</v>
      </c>
      <c r="C37" s="4" t="s">
        <v>88</v>
      </c>
      <c r="D37" s="4" t="s">
        <v>89</v>
      </c>
      <c r="E37" s="4" t="s">
        <v>202</v>
      </c>
      <c r="F37" s="4">
        <f t="shared" si="0"/>
        <v>8.1</v>
      </c>
      <c r="G37" s="4" t="s">
        <v>200</v>
      </c>
      <c r="H37" s="4">
        <f t="shared" si="0"/>
        <v>15.1</v>
      </c>
    </row>
    <row r="38" spans="1:8" ht="18.5" x14ac:dyDescent="0.35">
      <c r="A38" s="3">
        <v>13</v>
      </c>
      <c r="B38" s="3" t="s">
        <v>87</v>
      </c>
      <c r="C38" s="4" t="s">
        <v>90</v>
      </c>
      <c r="D38" s="4" t="s">
        <v>91</v>
      </c>
      <c r="E38" s="4" t="s">
        <v>202</v>
      </c>
      <c r="F38" s="4">
        <f t="shared" si="0"/>
        <v>5.0999999999999996</v>
      </c>
      <c r="G38" s="4" t="s">
        <v>200</v>
      </c>
      <c r="H38" s="4">
        <f t="shared" si="0"/>
        <v>15.1</v>
      </c>
    </row>
    <row r="39" spans="1:8" ht="18.5" x14ac:dyDescent="0.35">
      <c r="A39" s="5">
        <v>14</v>
      </c>
      <c r="B39" s="3" t="s">
        <v>87</v>
      </c>
      <c r="C39" s="4" t="s">
        <v>92</v>
      </c>
      <c r="D39" s="4" t="s">
        <v>93</v>
      </c>
      <c r="E39" s="4" t="s">
        <v>202</v>
      </c>
      <c r="F39" s="4">
        <f t="shared" si="0"/>
        <v>8.1</v>
      </c>
      <c r="G39" s="4" t="s">
        <v>200</v>
      </c>
      <c r="H39" s="4">
        <f t="shared" si="0"/>
        <v>25.1</v>
      </c>
    </row>
    <row r="40" spans="1:8" ht="37" x14ac:dyDescent="0.35">
      <c r="A40" s="3">
        <v>15</v>
      </c>
      <c r="B40" s="3" t="s">
        <v>94</v>
      </c>
      <c r="C40" s="4" t="s">
        <v>95</v>
      </c>
      <c r="D40" s="4" t="s">
        <v>96</v>
      </c>
      <c r="E40" s="4" t="s">
        <v>202</v>
      </c>
      <c r="F40" s="4">
        <f t="shared" si="0"/>
        <v>0.4</v>
      </c>
      <c r="G40" s="4" t="s">
        <v>200</v>
      </c>
      <c r="H40" s="4">
        <f t="shared" si="0"/>
        <v>1.1000000000000001</v>
      </c>
    </row>
    <row r="41" spans="1:8" ht="18.5" x14ac:dyDescent="0.35">
      <c r="A41" s="5">
        <v>16</v>
      </c>
      <c r="B41" s="3" t="s">
        <v>94</v>
      </c>
      <c r="C41" s="4" t="s">
        <v>97</v>
      </c>
      <c r="D41" s="4" t="s">
        <v>98</v>
      </c>
      <c r="E41" s="4" t="s">
        <v>202</v>
      </c>
      <c r="F41" s="4">
        <f t="shared" si="0"/>
        <v>0.4</v>
      </c>
      <c r="G41" s="4" t="s">
        <v>200</v>
      </c>
      <c r="H41" s="4">
        <f t="shared" si="0"/>
        <v>0.1</v>
      </c>
    </row>
    <row r="42" spans="1:8" ht="18.5" x14ac:dyDescent="0.35">
      <c r="A42" s="3">
        <v>17</v>
      </c>
      <c r="B42" s="3" t="s">
        <v>94</v>
      </c>
      <c r="C42" s="4" t="s">
        <v>252</v>
      </c>
      <c r="D42" s="4" t="s">
        <v>98</v>
      </c>
      <c r="E42" s="4" t="s">
        <v>202</v>
      </c>
      <c r="F42" s="4">
        <f t="shared" si="0"/>
        <v>2.1</v>
      </c>
      <c r="G42" s="4" t="s">
        <v>200</v>
      </c>
      <c r="H42" s="4">
        <f t="shared" si="0"/>
        <v>5.0999999999999996</v>
      </c>
    </row>
    <row r="43" spans="1:8" ht="37" x14ac:dyDescent="0.35">
      <c r="A43" s="5">
        <v>18</v>
      </c>
      <c r="B43" s="3" t="s">
        <v>253</v>
      </c>
      <c r="C43" s="4" t="s">
        <v>254</v>
      </c>
      <c r="D43" s="4" t="s">
        <v>255</v>
      </c>
      <c r="E43" s="4" t="s">
        <v>256</v>
      </c>
      <c r="F43" s="4">
        <v>45000</v>
      </c>
      <c r="G43" s="4" t="s">
        <v>114</v>
      </c>
      <c r="H43" s="3" t="s">
        <v>114</v>
      </c>
    </row>
    <row r="44" spans="1:8" ht="18.5" x14ac:dyDescent="0.35">
      <c r="A44" s="3">
        <v>19</v>
      </c>
      <c r="B44" s="3" t="s">
        <v>253</v>
      </c>
      <c r="C44" s="4" t="s">
        <v>257</v>
      </c>
      <c r="D44" s="4" t="s">
        <v>258</v>
      </c>
      <c r="E44" s="4" t="s">
        <v>202</v>
      </c>
      <c r="F44" s="4">
        <v>15000</v>
      </c>
      <c r="G44" s="4" t="s">
        <v>114</v>
      </c>
      <c r="H44" s="3" t="s">
        <v>114</v>
      </c>
    </row>
    <row r="47" spans="1:8" ht="18.5" x14ac:dyDescent="0.45">
      <c r="A47" s="233" t="s">
        <v>260</v>
      </c>
      <c r="B47" s="232" t="str">
        <f>'[1]Product Type Configuration'!D9</f>
        <v>PERSONAL NIB-FINTECH</v>
      </c>
      <c r="C47" s="139"/>
      <c r="D47" s="139"/>
      <c r="E47" s="139"/>
      <c r="F47" s="139"/>
      <c r="G47" s="139"/>
      <c r="H47" s="139"/>
    </row>
    <row r="48" spans="1:8" ht="46" x14ac:dyDescent="0.35">
      <c r="A48" s="1" t="s">
        <v>60</v>
      </c>
      <c r="B48" s="1" t="s">
        <v>61</v>
      </c>
      <c r="C48" s="2" t="s">
        <v>62</v>
      </c>
      <c r="D48" s="2" t="s">
        <v>63</v>
      </c>
      <c r="E48" s="54" t="s">
        <v>64</v>
      </c>
      <c r="F48" s="54" t="s">
        <v>65</v>
      </c>
      <c r="G48" s="54" t="s">
        <v>64</v>
      </c>
      <c r="H48" s="54" t="s">
        <v>66</v>
      </c>
    </row>
    <row r="49" spans="1:8" ht="18.5" x14ac:dyDescent="0.35">
      <c r="A49" s="3">
        <v>1</v>
      </c>
      <c r="B49" s="3" t="s">
        <v>67</v>
      </c>
      <c r="C49" s="4" t="s">
        <v>68</v>
      </c>
      <c r="D49" s="4" t="s">
        <v>69</v>
      </c>
      <c r="E49" s="4" t="s">
        <v>202</v>
      </c>
      <c r="F49" s="4">
        <f>F26+0.1</f>
        <v>0.44999999999999996</v>
      </c>
      <c r="G49" s="4" t="s">
        <v>202</v>
      </c>
      <c r="H49" s="4">
        <f>H26+0.1</f>
        <v>0.7</v>
      </c>
    </row>
    <row r="50" spans="1:8" ht="55.5" x14ac:dyDescent="0.35">
      <c r="A50" s="5">
        <v>2</v>
      </c>
      <c r="B50" s="5" t="s">
        <v>67</v>
      </c>
      <c r="C50" s="6" t="s">
        <v>70</v>
      </c>
      <c r="D50" s="7" t="s">
        <v>71</v>
      </c>
      <c r="E50" s="4" t="s">
        <v>202</v>
      </c>
      <c r="F50" s="4">
        <f t="shared" ref="F50:F65" si="1">F27+0.1</f>
        <v>5.1999999999999993</v>
      </c>
      <c r="G50" s="4" t="s">
        <v>114</v>
      </c>
      <c r="H50" s="3" t="s">
        <v>114</v>
      </c>
    </row>
    <row r="51" spans="1:8" ht="37" x14ac:dyDescent="0.35">
      <c r="A51" s="3">
        <v>3</v>
      </c>
      <c r="B51" s="5" t="s">
        <v>67</v>
      </c>
      <c r="C51" s="6" t="s">
        <v>248</v>
      </c>
      <c r="D51" s="7" t="s">
        <v>249</v>
      </c>
      <c r="E51" s="4" t="s">
        <v>202</v>
      </c>
      <c r="F51" s="4">
        <f t="shared" si="1"/>
        <v>10.199999999999999</v>
      </c>
      <c r="G51" s="4" t="s">
        <v>200</v>
      </c>
      <c r="H51" s="4">
        <f>H28+0.1</f>
        <v>10.199999999999999</v>
      </c>
    </row>
    <row r="52" spans="1:8" ht="37" x14ac:dyDescent="0.35">
      <c r="A52" s="5">
        <v>4</v>
      </c>
      <c r="B52" s="3" t="s">
        <v>72</v>
      </c>
      <c r="C52" s="4" t="s">
        <v>73</v>
      </c>
      <c r="D52" s="4" t="s">
        <v>74</v>
      </c>
      <c r="E52" s="4" t="s">
        <v>202</v>
      </c>
      <c r="F52" s="4">
        <f t="shared" si="1"/>
        <v>0.35</v>
      </c>
      <c r="G52" s="4" t="s">
        <v>200</v>
      </c>
      <c r="H52" s="4">
        <f t="shared" ref="H52:H65" si="2">H29+0.1</f>
        <v>0.44999999999999996</v>
      </c>
    </row>
    <row r="53" spans="1:8" ht="18.5" x14ac:dyDescent="0.35">
      <c r="A53" s="3">
        <v>5</v>
      </c>
      <c r="B53" s="3" t="s">
        <v>72</v>
      </c>
      <c r="C53" s="4" t="s">
        <v>75</v>
      </c>
      <c r="D53" s="4" t="s">
        <v>76</v>
      </c>
      <c r="E53" s="4" t="s">
        <v>202</v>
      </c>
      <c r="F53" s="4">
        <f t="shared" si="1"/>
        <v>0.35</v>
      </c>
      <c r="G53" s="4" t="s">
        <v>200</v>
      </c>
      <c r="H53" s="4">
        <f t="shared" si="2"/>
        <v>0.44999999999999996</v>
      </c>
    </row>
    <row r="54" spans="1:8" ht="37" x14ac:dyDescent="0.35">
      <c r="A54" s="5">
        <v>6</v>
      </c>
      <c r="B54" s="3" t="s">
        <v>72</v>
      </c>
      <c r="C54" s="4" t="s">
        <v>77</v>
      </c>
      <c r="D54" s="4" t="s">
        <v>78</v>
      </c>
      <c r="E54" s="4" t="s">
        <v>202</v>
      </c>
      <c r="F54" s="4">
        <f t="shared" si="1"/>
        <v>0.44999999999999996</v>
      </c>
      <c r="G54" s="4" t="s">
        <v>200</v>
      </c>
      <c r="H54" s="4">
        <f t="shared" si="2"/>
        <v>0.7</v>
      </c>
    </row>
    <row r="55" spans="1:8" ht="37" x14ac:dyDescent="0.35">
      <c r="A55" s="3">
        <v>7</v>
      </c>
      <c r="B55" s="3" t="s">
        <v>72</v>
      </c>
      <c r="C55" s="4" t="s">
        <v>79</v>
      </c>
      <c r="D55" s="4" t="s">
        <v>80</v>
      </c>
      <c r="E55" s="4" t="s">
        <v>202</v>
      </c>
      <c r="F55" s="4">
        <f t="shared" si="1"/>
        <v>2.2000000000000002</v>
      </c>
      <c r="G55" s="4" t="s">
        <v>200</v>
      </c>
      <c r="H55" s="4">
        <f t="shared" si="2"/>
        <v>10.199999999999999</v>
      </c>
    </row>
    <row r="56" spans="1:8" ht="37" x14ac:dyDescent="0.35">
      <c r="A56" s="5">
        <v>8</v>
      </c>
      <c r="B56" s="3" t="s">
        <v>72</v>
      </c>
      <c r="C56" s="4" t="s">
        <v>81</v>
      </c>
      <c r="D56" s="4" t="s">
        <v>82</v>
      </c>
      <c r="E56" s="4" t="s">
        <v>202</v>
      </c>
      <c r="F56" s="4">
        <f t="shared" si="1"/>
        <v>2.2000000000000002</v>
      </c>
      <c r="G56" s="4" t="s">
        <v>200</v>
      </c>
      <c r="H56" s="4">
        <f t="shared" si="2"/>
        <v>10.199999999999999</v>
      </c>
    </row>
    <row r="57" spans="1:8" ht="18.5" x14ac:dyDescent="0.35">
      <c r="A57" s="3">
        <v>9</v>
      </c>
      <c r="B57" s="3" t="s">
        <v>72</v>
      </c>
      <c r="C57" s="4" t="s">
        <v>83</v>
      </c>
      <c r="D57" s="4" t="s">
        <v>84</v>
      </c>
      <c r="E57" s="4" t="s">
        <v>202</v>
      </c>
      <c r="F57" s="4">
        <f t="shared" si="1"/>
        <v>2.2000000000000002</v>
      </c>
      <c r="G57" s="4" t="s">
        <v>200</v>
      </c>
      <c r="H57" s="4">
        <f t="shared" si="2"/>
        <v>10.199999999999999</v>
      </c>
    </row>
    <row r="58" spans="1:8" ht="37" x14ac:dyDescent="0.35">
      <c r="A58" s="5">
        <v>10</v>
      </c>
      <c r="B58" s="3" t="s">
        <v>72</v>
      </c>
      <c r="C58" s="4" t="s">
        <v>85</v>
      </c>
      <c r="D58" s="4" t="s">
        <v>86</v>
      </c>
      <c r="E58" s="4" t="s">
        <v>202</v>
      </c>
      <c r="F58" s="4">
        <f t="shared" si="1"/>
        <v>2.2000000000000002</v>
      </c>
      <c r="G58" s="4" t="s">
        <v>200</v>
      </c>
      <c r="H58" s="4">
        <f t="shared" si="2"/>
        <v>10.199999999999999</v>
      </c>
    </row>
    <row r="59" spans="1:8" ht="37" x14ac:dyDescent="0.35">
      <c r="A59" s="3">
        <v>11</v>
      </c>
      <c r="B59" s="3" t="s">
        <v>72</v>
      </c>
      <c r="C59" s="4" t="s">
        <v>250</v>
      </c>
      <c r="D59" s="4" t="s">
        <v>251</v>
      </c>
      <c r="E59" s="4" t="s">
        <v>202</v>
      </c>
      <c r="F59" s="4">
        <f t="shared" si="1"/>
        <v>12.2</v>
      </c>
      <c r="G59" s="4" t="s">
        <v>200</v>
      </c>
      <c r="H59" s="4">
        <f t="shared" si="2"/>
        <v>12.2</v>
      </c>
    </row>
    <row r="60" spans="1:8" ht="18.5" x14ac:dyDescent="0.35">
      <c r="A60" s="5">
        <v>12</v>
      </c>
      <c r="B60" s="3" t="s">
        <v>87</v>
      </c>
      <c r="C60" s="4" t="s">
        <v>88</v>
      </c>
      <c r="D60" s="4" t="s">
        <v>89</v>
      </c>
      <c r="E60" s="4" t="s">
        <v>202</v>
      </c>
      <c r="F60" s="4">
        <f t="shared" si="1"/>
        <v>8.1999999999999993</v>
      </c>
      <c r="G60" s="4" t="s">
        <v>200</v>
      </c>
      <c r="H60" s="4">
        <f t="shared" si="2"/>
        <v>15.2</v>
      </c>
    </row>
    <row r="61" spans="1:8" ht="18.5" x14ac:dyDescent="0.35">
      <c r="A61" s="3">
        <v>13</v>
      </c>
      <c r="B61" s="3" t="s">
        <v>87</v>
      </c>
      <c r="C61" s="4" t="s">
        <v>90</v>
      </c>
      <c r="D61" s="4" t="s">
        <v>91</v>
      </c>
      <c r="E61" s="4" t="s">
        <v>202</v>
      </c>
      <c r="F61" s="4">
        <f t="shared" si="1"/>
        <v>5.1999999999999993</v>
      </c>
      <c r="G61" s="4" t="s">
        <v>200</v>
      </c>
      <c r="H61" s="4">
        <f t="shared" si="2"/>
        <v>15.2</v>
      </c>
    </row>
    <row r="62" spans="1:8" ht="18.5" x14ac:dyDescent="0.35">
      <c r="A62" s="5">
        <v>14</v>
      </c>
      <c r="B62" s="3" t="s">
        <v>87</v>
      </c>
      <c r="C62" s="4" t="s">
        <v>92</v>
      </c>
      <c r="D62" s="4" t="s">
        <v>93</v>
      </c>
      <c r="E62" s="4" t="s">
        <v>202</v>
      </c>
      <c r="F62" s="4">
        <f t="shared" si="1"/>
        <v>8.1999999999999993</v>
      </c>
      <c r="G62" s="4" t="s">
        <v>200</v>
      </c>
      <c r="H62" s="4">
        <f t="shared" si="2"/>
        <v>25.200000000000003</v>
      </c>
    </row>
    <row r="63" spans="1:8" ht="37" x14ac:dyDescent="0.35">
      <c r="A63" s="3">
        <v>15</v>
      </c>
      <c r="B63" s="3" t="s">
        <v>94</v>
      </c>
      <c r="C63" s="4" t="s">
        <v>95</v>
      </c>
      <c r="D63" s="4" t="s">
        <v>96</v>
      </c>
      <c r="E63" s="4" t="s">
        <v>202</v>
      </c>
      <c r="F63" s="4">
        <f t="shared" si="1"/>
        <v>0.5</v>
      </c>
      <c r="G63" s="4" t="s">
        <v>200</v>
      </c>
      <c r="H63" s="4">
        <f t="shared" si="2"/>
        <v>1.2000000000000002</v>
      </c>
    </row>
    <row r="64" spans="1:8" ht="18.5" x14ac:dyDescent="0.35">
      <c r="A64" s="5">
        <v>16</v>
      </c>
      <c r="B64" s="3" t="s">
        <v>94</v>
      </c>
      <c r="C64" s="4" t="s">
        <v>97</v>
      </c>
      <c r="D64" s="4" t="s">
        <v>98</v>
      </c>
      <c r="E64" s="4" t="s">
        <v>202</v>
      </c>
      <c r="F64" s="4">
        <f t="shared" si="1"/>
        <v>0.5</v>
      </c>
      <c r="G64" s="4" t="s">
        <v>200</v>
      </c>
      <c r="H64" s="4">
        <f t="shared" si="2"/>
        <v>0.2</v>
      </c>
    </row>
    <row r="65" spans="1:8" ht="18.5" x14ac:dyDescent="0.35">
      <c r="A65" s="3">
        <v>17</v>
      </c>
      <c r="B65" s="3" t="s">
        <v>94</v>
      </c>
      <c r="C65" s="4" t="s">
        <v>252</v>
      </c>
      <c r="D65" s="4" t="s">
        <v>98</v>
      </c>
      <c r="E65" s="4" t="s">
        <v>202</v>
      </c>
      <c r="F65" s="4">
        <f t="shared" si="1"/>
        <v>2.2000000000000002</v>
      </c>
      <c r="G65" s="4" t="s">
        <v>200</v>
      </c>
      <c r="H65" s="4">
        <f t="shared" si="2"/>
        <v>5.1999999999999993</v>
      </c>
    </row>
    <row r="66" spans="1:8" ht="37" x14ac:dyDescent="0.35">
      <c r="A66" s="5">
        <v>18</v>
      </c>
      <c r="B66" s="3" t="s">
        <v>253</v>
      </c>
      <c r="C66" s="4" t="s">
        <v>254</v>
      </c>
      <c r="D66" s="4" t="s">
        <v>255</v>
      </c>
      <c r="E66" s="4" t="s">
        <v>256</v>
      </c>
      <c r="F66" s="4">
        <v>45000</v>
      </c>
      <c r="G66" s="4" t="s">
        <v>114</v>
      </c>
      <c r="H66" s="3" t="s">
        <v>114</v>
      </c>
    </row>
    <row r="67" spans="1:8" ht="18.5" x14ac:dyDescent="0.35">
      <c r="A67" s="3">
        <v>19</v>
      </c>
      <c r="B67" s="3" t="s">
        <v>253</v>
      </c>
      <c r="C67" s="4" t="s">
        <v>257</v>
      </c>
      <c r="D67" s="4" t="s">
        <v>258</v>
      </c>
      <c r="E67" s="4" t="s">
        <v>202</v>
      </c>
      <c r="F67" s="4">
        <v>15000</v>
      </c>
      <c r="G67" s="4" t="s">
        <v>114</v>
      </c>
      <c r="H67" s="3" t="s">
        <v>114</v>
      </c>
    </row>
    <row r="68" spans="1:8" ht="18.5" x14ac:dyDescent="0.35">
      <c r="A68" s="234"/>
      <c r="B68" s="234"/>
      <c r="C68" s="235"/>
      <c r="D68" s="235"/>
      <c r="E68" s="235"/>
      <c r="F68" s="235"/>
      <c r="G68" s="235"/>
      <c r="H68" s="234"/>
    </row>
    <row r="70" spans="1:8" ht="18.5" x14ac:dyDescent="0.45">
      <c r="A70" s="233" t="s">
        <v>261</v>
      </c>
      <c r="B70" s="232" t="str">
        <f>'[1]Product Type Configuration'!E12</f>
        <v>Commercial IB Checking</v>
      </c>
      <c r="C70" s="139"/>
      <c r="D70" s="139"/>
      <c r="E70" s="139"/>
      <c r="F70" s="139"/>
      <c r="G70" s="139"/>
      <c r="H70" s="139"/>
    </row>
    <row r="71" spans="1:8" ht="46" x14ac:dyDescent="0.35">
      <c r="A71" s="1" t="s">
        <v>60</v>
      </c>
      <c r="B71" s="1" t="s">
        <v>61</v>
      </c>
      <c r="C71" s="2" t="s">
        <v>62</v>
      </c>
      <c r="D71" s="2" t="s">
        <v>63</v>
      </c>
      <c r="E71" s="54" t="s">
        <v>64</v>
      </c>
      <c r="F71" s="54" t="s">
        <v>65</v>
      </c>
      <c r="G71" s="54" t="s">
        <v>64</v>
      </c>
      <c r="H71" s="54" t="s">
        <v>66</v>
      </c>
    </row>
    <row r="72" spans="1:8" ht="18.5" x14ac:dyDescent="0.35">
      <c r="A72" s="3">
        <v>1</v>
      </c>
      <c r="B72" s="3" t="s">
        <v>67</v>
      </c>
      <c r="C72" s="4" t="s">
        <v>68</v>
      </c>
      <c r="D72" s="4" t="s">
        <v>69</v>
      </c>
      <c r="E72" s="4" t="s">
        <v>202</v>
      </c>
      <c r="F72" s="4">
        <f>F49+0.1</f>
        <v>0.54999999999999993</v>
      </c>
      <c r="G72" s="4" t="s">
        <v>202</v>
      </c>
      <c r="H72" s="4">
        <f>H49+0.1</f>
        <v>0.79999999999999993</v>
      </c>
    </row>
    <row r="73" spans="1:8" ht="55.5" x14ac:dyDescent="0.35">
      <c r="A73" s="5">
        <v>2</v>
      </c>
      <c r="B73" s="5" t="s">
        <v>67</v>
      </c>
      <c r="C73" s="6" t="s">
        <v>70</v>
      </c>
      <c r="D73" s="7" t="s">
        <v>71</v>
      </c>
      <c r="E73" s="4" t="s">
        <v>202</v>
      </c>
      <c r="F73" s="4">
        <f t="shared" ref="F73:F88" si="3">F50+0.1</f>
        <v>5.2999999999999989</v>
      </c>
      <c r="G73" s="4" t="s">
        <v>114</v>
      </c>
      <c r="H73" s="3" t="s">
        <v>114</v>
      </c>
    </row>
    <row r="74" spans="1:8" ht="37" x14ac:dyDescent="0.35">
      <c r="A74" s="3">
        <v>3</v>
      </c>
      <c r="B74" s="5" t="s">
        <v>67</v>
      </c>
      <c r="C74" s="6" t="s">
        <v>248</v>
      </c>
      <c r="D74" s="7" t="s">
        <v>249</v>
      </c>
      <c r="E74" s="4" t="s">
        <v>202</v>
      </c>
      <c r="F74" s="4">
        <f t="shared" si="3"/>
        <v>10.299999999999999</v>
      </c>
      <c r="G74" s="4" t="s">
        <v>200</v>
      </c>
      <c r="H74" s="4">
        <f>H51+0.1</f>
        <v>10.299999999999999</v>
      </c>
    </row>
    <row r="75" spans="1:8" ht="37" x14ac:dyDescent="0.35">
      <c r="A75" s="5">
        <v>4</v>
      </c>
      <c r="B75" s="3" t="s">
        <v>72</v>
      </c>
      <c r="C75" s="4" t="s">
        <v>73</v>
      </c>
      <c r="D75" s="4" t="s">
        <v>74</v>
      </c>
      <c r="E75" s="4" t="s">
        <v>202</v>
      </c>
      <c r="F75" s="4">
        <f t="shared" si="3"/>
        <v>0.44999999999999996</v>
      </c>
      <c r="G75" s="4" t="s">
        <v>200</v>
      </c>
      <c r="H75" s="4">
        <f t="shared" ref="H75:H88" si="4">H52+0.1</f>
        <v>0.54999999999999993</v>
      </c>
    </row>
    <row r="76" spans="1:8" ht="18.5" x14ac:dyDescent="0.35">
      <c r="A76" s="3">
        <v>5</v>
      </c>
      <c r="B76" s="3" t="s">
        <v>72</v>
      </c>
      <c r="C76" s="4" t="s">
        <v>75</v>
      </c>
      <c r="D76" s="4" t="s">
        <v>76</v>
      </c>
      <c r="E76" s="4" t="s">
        <v>202</v>
      </c>
      <c r="F76" s="4">
        <f t="shared" si="3"/>
        <v>0.44999999999999996</v>
      </c>
      <c r="G76" s="4" t="s">
        <v>200</v>
      </c>
      <c r="H76" s="4">
        <f t="shared" si="4"/>
        <v>0.54999999999999993</v>
      </c>
    </row>
    <row r="77" spans="1:8" ht="37" x14ac:dyDescent="0.35">
      <c r="A77" s="5">
        <v>6</v>
      </c>
      <c r="B77" s="3" t="s">
        <v>72</v>
      </c>
      <c r="C77" s="4" t="s">
        <v>77</v>
      </c>
      <c r="D77" s="4" t="s">
        <v>78</v>
      </c>
      <c r="E77" s="4" t="s">
        <v>202</v>
      </c>
      <c r="F77" s="4">
        <f t="shared" si="3"/>
        <v>0.54999999999999993</v>
      </c>
      <c r="G77" s="4" t="s">
        <v>200</v>
      </c>
      <c r="H77" s="4">
        <f t="shared" si="4"/>
        <v>0.79999999999999993</v>
      </c>
    </row>
    <row r="78" spans="1:8" ht="37" x14ac:dyDescent="0.35">
      <c r="A78" s="3">
        <v>7</v>
      </c>
      <c r="B78" s="3" t="s">
        <v>72</v>
      </c>
      <c r="C78" s="4" t="s">
        <v>79</v>
      </c>
      <c r="D78" s="4" t="s">
        <v>80</v>
      </c>
      <c r="E78" s="4" t="s">
        <v>202</v>
      </c>
      <c r="F78" s="4">
        <f t="shared" si="3"/>
        <v>2.3000000000000003</v>
      </c>
      <c r="G78" s="4" t="s">
        <v>200</v>
      </c>
      <c r="H78" s="4">
        <f t="shared" si="4"/>
        <v>10.299999999999999</v>
      </c>
    </row>
    <row r="79" spans="1:8" ht="37" x14ac:dyDescent="0.35">
      <c r="A79" s="5">
        <v>8</v>
      </c>
      <c r="B79" s="3" t="s">
        <v>72</v>
      </c>
      <c r="C79" s="4" t="s">
        <v>81</v>
      </c>
      <c r="D79" s="4" t="s">
        <v>82</v>
      </c>
      <c r="E79" s="4" t="s">
        <v>202</v>
      </c>
      <c r="F79" s="4">
        <f t="shared" si="3"/>
        <v>2.3000000000000003</v>
      </c>
      <c r="G79" s="4" t="s">
        <v>200</v>
      </c>
      <c r="H79" s="4">
        <f t="shared" si="4"/>
        <v>10.299999999999999</v>
      </c>
    </row>
    <row r="80" spans="1:8" ht="18.5" x14ac:dyDescent="0.35">
      <c r="A80" s="3">
        <v>9</v>
      </c>
      <c r="B80" s="3" t="s">
        <v>72</v>
      </c>
      <c r="C80" s="4" t="s">
        <v>83</v>
      </c>
      <c r="D80" s="4" t="s">
        <v>84</v>
      </c>
      <c r="E80" s="4" t="s">
        <v>202</v>
      </c>
      <c r="F80" s="4">
        <f t="shared" si="3"/>
        <v>2.3000000000000003</v>
      </c>
      <c r="G80" s="4" t="s">
        <v>200</v>
      </c>
      <c r="H80" s="4">
        <f t="shared" si="4"/>
        <v>10.299999999999999</v>
      </c>
    </row>
    <row r="81" spans="1:8" ht="37" x14ac:dyDescent="0.35">
      <c r="A81" s="5">
        <v>10</v>
      </c>
      <c r="B81" s="3" t="s">
        <v>72</v>
      </c>
      <c r="C81" s="4" t="s">
        <v>85</v>
      </c>
      <c r="D81" s="4" t="s">
        <v>86</v>
      </c>
      <c r="E81" s="4" t="s">
        <v>202</v>
      </c>
      <c r="F81" s="4">
        <f t="shared" si="3"/>
        <v>2.3000000000000003</v>
      </c>
      <c r="G81" s="4" t="s">
        <v>200</v>
      </c>
      <c r="H81" s="4">
        <f t="shared" si="4"/>
        <v>10.299999999999999</v>
      </c>
    </row>
    <row r="82" spans="1:8" ht="37" x14ac:dyDescent="0.35">
      <c r="A82" s="3">
        <v>11</v>
      </c>
      <c r="B82" s="3" t="s">
        <v>72</v>
      </c>
      <c r="C82" s="4" t="s">
        <v>250</v>
      </c>
      <c r="D82" s="4" t="s">
        <v>251</v>
      </c>
      <c r="E82" s="4" t="s">
        <v>202</v>
      </c>
      <c r="F82" s="4">
        <f t="shared" si="3"/>
        <v>12.299999999999999</v>
      </c>
      <c r="G82" s="4" t="s">
        <v>200</v>
      </c>
      <c r="H82" s="4">
        <f t="shared" si="4"/>
        <v>12.299999999999999</v>
      </c>
    </row>
    <row r="83" spans="1:8" ht="18.5" x14ac:dyDescent="0.35">
      <c r="A83" s="5">
        <v>12</v>
      </c>
      <c r="B83" s="3" t="s">
        <v>87</v>
      </c>
      <c r="C83" s="4" t="s">
        <v>88</v>
      </c>
      <c r="D83" s="4" t="s">
        <v>89</v>
      </c>
      <c r="E83" s="4" t="s">
        <v>202</v>
      </c>
      <c r="F83" s="4">
        <f t="shared" si="3"/>
        <v>8.2999999999999989</v>
      </c>
      <c r="G83" s="4" t="s">
        <v>200</v>
      </c>
      <c r="H83" s="4">
        <f t="shared" si="4"/>
        <v>15.299999999999999</v>
      </c>
    </row>
    <row r="84" spans="1:8" ht="18.5" x14ac:dyDescent="0.35">
      <c r="A84" s="3">
        <v>13</v>
      </c>
      <c r="B84" s="3" t="s">
        <v>87</v>
      </c>
      <c r="C84" s="4" t="s">
        <v>90</v>
      </c>
      <c r="D84" s="4" t="s">
        <v>91</v>
      </c>
      <c r="E84" s="4" t="s">
        <v>202</v>
      </c>
      <c r="F84" s="4">
        <f t="shared" si="3"/>
        <v>5.2999999999999989</v>
      </c>
      <c r="G84" s="4" t="s">
        <v>200</v>
      </c>
      <c r="H84" s="4">
        <f t="shared" si="4"/>
        <v>15.299999999999999</v>
      </c>
    </row>
    <row r="85" spans="1:8" ht="18.5" x14ac:dyDescent="0.35">
      <c r="A85" s="5">
        <v>14</v>
      </c>
      <c r="B85" s="3" t="s">
        <v>87</v>
      </c>
      <c r="C85" s="4" t="s">
        <v>92</v>
      </c>
      <c r="D85" s="4" t="s">
        <v>93</v>
      </c>
      <c r="E85" s="4" t="s">
        <v>202</v>
      </c>
      <c r="F85" s="4">
        <f t="shared" si="3"/>
        <v>8.2999999999999989</v>
      </c>
      <c r="G85" s="4" t="s">
        <v>200</v>
      </c>
      <c r="H85" s="4">
        <f t="shared" si="4"/>
        <v>25.300000000000004</v>
      </c>
    </row>
    <row r="86" spans="1:8" ht="37" x14ac:dyDescent="0.35">
      <c r="A86" s="3">
        <v>15</v>
      </c>
      <c r="B86" s="3" t="s">
        <v>94</v>
      </c>
      <c r="C86" s="4" t="s">
        <v>95</v>
      </c>
      <c r="D86" s="4" t="s">
        <v>96</v>
      </c>
      <c r="E86" s="4" t="s">
        <v>202</v>
      </c>
      <c r="F86" s="4">
        <f t="shared" si="3"/>
        <v>0.6</v>
      </c>
      <c r="G86" s="4" t="s">
        <v>200</v>
      </c>
      <c r="H86" s="4">
        <f t="shared" si="4"/>
        <v>1.3000000000000003</v>
      </c>
    </row>
    <row r="87" spans="1:8" ht="18.5" x14ac:dyDescent="0.35">
      <c r="A87" s="5">
        <v>16</v>
      </c>
      <c r="B87" s="3" t="s">
        <v>94</v>
      </c>
      <c r="C87" s="4" t="s">
        <v>97</v>
      </c>
      <c r="D87" s="4" t="s">
        <v>98</v>
      </c>
      <c r="E87" s="4" t="s">
        <v>202</v>
      </c>
      <c r="F87" s="4">
        <f t="shared" si="3"/>
        <v>0.6</v>
      </c>
      <c r="G87" s="4" t="s">
        <v>200</v>
      </c>
      <c r="H87" s="4">
        <f t="shared" si="4"/>
        <v>0.30000000000000004</v>
      </c>
    </row>
    <row r="88" spans="1:8" ht="18.5" x14ac:dyDescent="0.35">
      <c r="A88" s="3">
        <v>17</v>
      </c>
      <c r="B88" s="3" t="s">
        <v>94</v>
      </c>
      <c r="C88" s="4" t="s">
        <v>252</v>
      </c>
      <c r="D88" s="4" t="s">
        <v>98</v>
      </c>
      <c r="E88" s="4" t="s">
        <v>202</v>
      </c>
      <c r="F88" s="4">
        <f t="shared" si="3"/>
        <v>2.3000000000000003</v>
      </c>
      <c r="G88" s="4" t="s">
        <v>200</v>
      </c>
      <c r="H88" s="4">
        <f t="shared" si="4"/>
        <v>5.2999999999999989</v>
      </c>
    </row>
    <row r="89" spans="1:8" ht="37" x14ac:dyDescent="0.35">
      <c r="A89" s="5">
        <v>18</v>
      </c>
      <c r="B89" s="3" t="s">
        <v>253</v>
      </c>
      <c r="C89" s="4" t="s">
        <v>254</v>
      </c>
      <c r="D89" s="4" t="s">
        <v>255</v>
      </c>
      <c r="E89" s="4" t="s">
        <v>256</v>
      </c>
      <c r="F89" s="4">
        <v>45000</v>
      </c>
      <c r="G89" s="4" t="s">
        <v>114</v>
      </c>
      <c r="H89" s="3" t="s">
        <v>114</v>
      </c>
    </row>
    <row r="90" spans="1:8" ht="18.5" x14ac:dyDescent="0.35">
      <c r="A90" s="3">
        <v>19</v>
      </c>
      <c r="B90" s="3" t="s">
        <v>253</v>
      </c>
      <c r="C90" s="4" t="s">
        <v>257</v>
      </c>
      <c r="D90" s="4" t="s">
        <v>258</v>
      </c>
      <c r="E90" s="4" t="s">
        <v>202</v>
      </c>
      <c r="F90" s="4">
        <v>15000</v>
      </c>
      <c r="G90" s="4" t="s">
        <v>114</v>
      </c>
      <c r="H90" s="3" t="s">
        <v>114</v>
      </c>
    </row>
    <row r="91" spans="1:8" ht="18.5" x14ac:dyDescent="0.35">
      <c r="A91" s="234"/>
      <c r="B91" s="234"/>
      <c r="C91" s="235"/>
      <c r="D91" s="235"/>
      <c r="E91" s="235"/>
      <c r="F91" s="235"/>
      <c r="G91" s="235"/>
      <c r="H91" s="234"/>
    </row>
    <row r="93" spans="1:8" ht="18.5" x14ac:dyDescent="0.45">
      <c r="A93" s="233" t="s">
        <v>262</v>
      </c>
      <c r="B93" s="232" t="str">
        <f>'[1]Product Type Configuration'!D15</f>
        <v>SAVINGS COMMERCIAL-FINTECH</v>
      </c>
      <c r="C93" s="139"/>
      <c r="D93" s="139"/>
      <c r="E93" s="139"/>
      <c r="F93" s="139"/>
      <c r="G93" s="139"/>
      <c r="H93" s="139"/>
    </row>
    <row r="94" spans="1:8" ht="46" x14ac:dyDescent="0.35">
      <c r="A94" s="1" t="s">
        <v>60</v>
      </c>
      <c r="B94" s="1" t="s">
        <v>61</v>
      </c>
      <c r="C94" s="2" t="s">
        <v>62</v>
      </c>
      <c r="D94" s="2" t="s">
        <v>63</v>
      </c>
      <c r="E94" s="54" t="s">
        <v>64</v>
      </c>
      <c r="F94" s="54" t="s">
        <v>65</v>
      </c>
      <c r="G94" s="54" t="s">
        <v>64</v>
      </c>
      <c r="H94" s="54" t="s">
        <v>66</v>
      </c>
    </row>
    <row r="95" spans="1:8" ht="18.5" x14ac:dyDescent="0.35">
      <c r="A95" s="3">
        <v>1</v>
      </c>
      <c r="B95" s="3" t="s">
        <v>67</v>
      </c>
      <c r="C95" s="4" t="s">
        <v>68</v>
      </c>
      <c r="D95" s="4" t="s">
        <v>69</v>
      </c>
      <c r="E95" s="4" t="s">
        <v>202</v>
      </c>
      <c r="F95" s="4">
        <f>F72+0.1</f>
        <v>0.64999999999999991</v>
      </c>
      <c r="G95" s="4" t="s">
        <v>202</v>
      </c>
      <c r="H95" s="4">
        <f>H72+0.1</f>
        <v>0.89999999999999991</v>
      </c>
    </row>
    <row r="96" spans="1:8" ht="55.5" x14ac:dyDescent="0.35">
      <c r="A96" s="5">
        <v>2</v>
      </c>
      <c r="B96" s="5" t="s">
        <v>67</v>
      </c>
      <c r="C96" s="6" t="s">
        <v>70</v>
      </c>
      <c r="D96" s="7" t="s">
        <v>71</v>
      </c>
      <c r="E96" s="4" t="s">
        <v>202</v>
      </c>
      <c r="F96" s="4">
        <f t="shared" ref="F96:F111" si="5">F73+0.1</f>
        <v>5.3999999999999986</v>
      </c>
      <c r="G96" s="4" t="s">
        <v>114</v>
      </c>
      <c r="H96" s="3" t="s">
        <v>114</v>
      </c>
    </row>
    <row r="97" spans="1:8" ht="37" x14ac:dyDescent="0.35">
      <c r="A97" s="3">
        <v>3</v>
      </c>
      <c r="B97" s="5" t="s">
        <v>67</v>
      </c>
      <c r="C97" s="6" t="s">
        <v>248</v>
      </c>
      <c r="D97" s="7" t="s">
        <v>249</v>
      </c>
      <c r="E97" s="4" t="s">
        <v>202</v>
      </c>
      <c r="F97" s="4">
        <f t="shared" si="5"/>
        <v>10.399999999999999</v>
      </c>
      <c r="G97" s="4" t="s">
        <v>200</v>
      </c>
      <c r="H97" s="4">
        <f>H74+0.1</f>
        <v>10.399999999999999</v>
      </c>
    </row>
    <row r="98" spans="1:8" ht="37" x14ac:dyDescent="0.35">
      <c r="A98" s="5">
        <v>4</v>
      </c>
      <c r="B98" s="3" t="s">
        <v>72</v>
      </c>
      <c r="C98" s="4" t="s">
        <v>73</v>
      </c>
      <c r="D98" s="4" t="s">
        <v>74</v>
      </c>
      <c r="E98" s="4" t="s">
        <v>202</v>
      </c>
      <c r="F98" s="4">
        <f t="shared" si="5"/>
        <v>0.54999999999999993</v>
      </c>
      <c r="G98" s="4" t="s">
        <v>200</v>
      </c>
      <c r="H98" s="4">
        <f t="shared" ref="H98:H111" si="6">H75+0.1</f>
        <v>0.64999999999999991</v>
      </c>
    </row>
    <row r="99" spans="1:8" ht="18.5" x14ac:dyDescent="0.35">
      <c r="A99" s="3">
        <v>5</v>
      </c>
      <c r="B99" s="3" t="s">
        <v>72</v>
      </c>
      <c r="C99" s="4" t="s">
        <v>75</v>
      </c>
      <c r="D99" s="4" t="s">
        <v>76</v>
      </c>
      <c r="E99" s="4" t="s">
        <v>202</v>
      </c>
      <c r="F99" s="4">
        <f t="shared" si="5"/>
        <v>0.54999999999999993</v>
      </c>
      <c r="G99" s="4" t="s">
        <v>200</v>
      </c>
      <c r="H99" s="4">
        <f t="shared" si="6"/>
        <v>0.64999999999999991</v>
      </c>
    </row>
    <row r="100" spans="1:8" ht="37" x14ac:dyDescent="0.35">
      <c r="A100" s="5">
        <v>6</v>
      </c>
      <c r="B100" s="3" t="s">
        <v>72</v>
      </c>
      <c r="C100" s="4" t="s">
        <v>77</v>
      </c>
      <c r="D100" s="4" t="s">
        <v>78</v>
      </c>
      <c r="E100" s="4" t="s">
        <v>202</v>
      </c>
      <c r="F100" s="4">
        <f t="shared" si="5"/>
        <v>0.64999999999999991</v>
      </c>
      <c r="G100" s="4" t="s">
        <v>200</v>
      </c>
      <c r="H100" s="4">
        <f t="shared" si="6"/>
        <v>0.89999999999999991</v>
      </c>
    </row>
    <row r="101" spans="1:8" ht="37" x14ac:dyDescent="0.35">
      <c r="A101" s="3">
        <v>7</v>
      </c>
      <c r="B101" s="3" t="s">
        <v>72</v>
      </c>
      <c r="C101" s="4" t="s">
        <v>79</v>
      </c>
      <c r="D101" s="4" t="s">
        <v>80</v>
      </c>
      <c r="E101" s="4" t="s">
        <v>202</v>
      </c>
      <c r="F101" s="4">
        <f t="shared" si="5"/>
        <v>2.4000000000000004</v>
      </c>
      <c r="G101" s="4" t="s">
        <v>200</v>
      </c>
      <c r="H101" s="4">
        <f t="shared" si="6"/>
        <v>10.399999999999999</v>
      </c>
    </row>
    <row r="102" spans="1:8" ht="37" x14ac:dyDescent="0.35">
      <c r="A102" s="5">
        <v>8</v>
      </c>
      <c r="B102" s="3" t="s">
        <v>72</v>
      </c>
      <c r="C102" s="4" t="s">
        <v>81</v>
      </c>
      <c r="D102" s="4" t="s">
        <v>82</v>
      </c>
      <c r="E102" s="4" t="s">
        <v>202</v>
      </c>
      <c r="F102" s="4">
        <f t="shared" si="5"/>
        <v>2.4000000000000004</v>
      </c>
      <c r="G102" s="4" t="s">
        <v>200</v>
      </c>
      <c r="H102" s="4">
        <f t="shared" si="6"/>
        <v>10.399999999999999</v>
      </c>
    </row>
    <row r="103" spans="1:8" ht="18.5" x14ac:dyDescent="0.35">
      <c r="A103" s="3">
        <v>9</v>
      </c>
      <c r="B103" s="3" t="s">
        <v>72</v>
      </c>
      <c r="C103" s="4" t="s">
        <v>83</v>
      </c>
      <c r="D103" s="4" t="s">
        <v>84</v>
      </c>
      <c r="E103" s="4" t="s">
        <v>202</v>
      </c>
      <c r="F103" s="4">
        <f t="shared" si="5"/>
        <v>2.4000000000000004</v>
      </c>
      <c r="G103" s="4" t="s">
        <v>200</v>
      </c>
      <c r="H103" s="4">
        <f t="shared" si="6"/>
        <v>10.399999999999999</v>
      </c>
    </row>
    <row r="104" spans="1:8" ht="37" x14ac:dyDescent="0.35">
      <c r="A104" s="5">
        <v>10</v>
      </c>
      <c r="B104" s="3" t="s">
        <v>72</v>
      </c>
      <c r="C104" s="4" t="s">
        <v>85</v>
      </c>
      <c r="D104" s="4" t="s">
        <v>86</v>
      </c>
      <c r="E104" s="4" t="s">
        <v>202</v>
      </c>
      <c r="F104" s="4">
        <f t="shared" si="5"/>
        <v>2.4000000000000004</v>
      </c>
      <c r="G104" s="4" t="s">
        <v>200</v>
      </c>
      <c r="H104" s="4">
        <f t="shared" si="6"/>
        <v>10.399999999999999</v>
      </c>
    </row>
    <row r="105" spans="1:8" ht="37" x14ac:dyDescent="0.35">
      <c r="A105" s="3">
        <v>11</v>
      </c>
      <c r="B105" s="3" t="s">
        <v>72</v>
      </c>
      <c r="C105" s="4" t="s">
        <v>250</v>
      </c>
      <c r="D105" s="4" t="s">
        <v>251</v>
      </c>
      <c r="E105" s="4" t="s">
        <v>202</v>
      </c>
      <c r="F105" s="4">
        <f t="shared" si="5"/>
        <v>12.399999999999999</v>
      </c>
      <c r="G105" s="4" t="s">
        <v>200</v>
      </c>
      <c r="H105" s="4">
        <f t="shared" si="6"/>
        <v>12.399999999999999</v>
      </c>
    </row>
    <row r="106" spans="1:8" ht="18.5" x14ac:dyDescent="0.35">
      <c r="A106" s="5">
        <v>12</v>
      </c>
      <c r="B106" s="3" t="s">
        <v>87</v>
      </c>
      <c r="C106" s="4" t="s">
        <v>88</v>
      </c>
      <c r="D106" s="4" t="s">
        <v>89</v>
      </c>
      <c r="E106" s="4" t="s">
        <v>202</v>
      </c>
      <c r="F106" s="4">
        <f t="shared" si="5"/>
        <v>8.3999999999999986</v>
      </c>
      <c r="G106" s="4" t="s">
        <v>200</v>
      </c>
      <c r="H106" s="4">
        <f t="shared" si="6"/>
        <v>15.399999999999999</v>
      </c>
    </row>
    <row r="107" spans="1:8" ht="18.5" x14ac:dyDescent="0.35">
      <c r="A107" s="3">
        <v>13</v>
      </c>
      <c r="B107" s="3" t="s">
        <v>87</v>
      </c>
      <c r="C107" s="4" t="s">
        <v>90</v>
      </c>
      <c r="D107" s="4" t="s">
        <v>91</v>
      </c>
      <c r="E107" s="4" t="s">
        <v>202</v>
      </c>
      <c r="F107" s="4">
        <f t="shared" si="5"/>
        <v>5.3999999999999986</v>
      </c>
      <c r="G107" s="4" t="s">
        <v>200</v>
      </c>
      <c r="H107" s="4">
        <f t="shared" si="6"/>
        <v>15.399999999999999</v>
      </c>
    </row>
    <row r="108" spans="1:8" ht="18.5" x14ac:dyDescent="0.35">
      <c r="A108" s="5">
        <v>14</v>
      </c>
      <c r="B108" s="3" t="s">
        <v>87</v>
      </c>
      <c r="C108" s="4" t="s">
        <v>92</v>
      </c>
      <c r="D108" s="4" t="s">
        <v>93</v>
      </c>
      <c r="E108" s="4" t="s">
        <v>202</v>
      </c>
      <c r="F108" s="4">
        <f t="shared" si="5"/>
        <v>8.3999999999999986</v>
      </c>
      <c r="G108" s="4" t="s">
        <v>200</v>
      </c>
      <c r="H108" s="4">
        <f t="shared" si="6"/>
        <v>25.400000000000006</v>
      </c>
    </row>
    <row r="109" spans="1:8" ht="37" x14ac:dyDescent="0.35">
      <c r="A109" s="3">
        <v>15</v>
      </c>
      <c r="B109" s="3" t="s">
        <v>94</v>
      </c>
      <c r="C109" s="4" t="s">
        <v>95</v>
      </c>
      <c r="D109" s="4" t="s">
        <v>96</v>
      </c>
      <c r="E109" s="4" t="s">
        <v>202</v>
      </c>
      <c r="F109" s="4">
        <f t="shared" si="5"/>
        <v>0.7</v>
      </c>
      <c r="G109" s="4" t="s">
        <v>200</v>
      </c>
      <c r="H109" s="4">
        <f t="shared" si="6"/>
        <v>1.4000000000000004</v>
      </c>
    </row>
    <row r="110" spans="1:8" ht="18.5" x14ac:dyDescent="0.35">
      <c r="A110" s="5">
        <v>16</v>
      </c>
      <c r="B110" s="3" t="s">
        <v>94</v>
      </c>
      <c r="C110" s="4" t="s">
        <v>97</v>
      </c>
      <c r="D110" s="4" t="s">
        <v>98</v>
      </c>
      <c r="E110" s="4" t="s">
        <v>202</v>
      </c>
      <c r="F110" s="4">
        <f t="shared" si="5"/>
        <v>0.7</v>
      </c>
      <c r="G110" s="4" t="s">
        <v>200</v>
      </c>
      <c r="H110" s="4">
        <f t="shared" si="6"/>
        <v>0.4</v>
      </c>
    </row>
    <row r="111" spans="1:8" ht="18.5" x14ac:dyDescent="0.35">
      <c r="A111" s="3">
        <v>17</v>
      </c>
      <c r="B111" s="3" t="s">
        <v>94</v>
      </c>
      <c r="C111" s="4" t="s">
        <v>252</v>
      </c>
      <c r="D111" s="4" t="s">
        <v>98</v>
      </c>
      <c r="E111" s="4" t="s">
        <v>202</v>
      </c>
      <c r="F111" s="4">
        <f t="shared" si="5"/>
        <v>2.4000000000000004</v>
      </c>
      <c r="G111" s="4" t="s">
        <v>200</v>
      </c>
      <c r="H111" s="4">
        <f t="shared" si="6"/>
        <v>5.3999999999999986</v>
      </c>
    </row>
    <row r="112" spans="1:8" ht="37" x14ac:dyDescent="0.35">
      <c r="A112" s="5">
        <v>18</v>
      </c>
      <c r="B112" s="3" t="s">
        <v>253</v>
      </c>
      <c r="C112" s="4" t="s">
        <v>254</v>
      </c>
      <c r="D112" s="4" t="s">
        <v>255</v>
      </c>
      <c r="E112" s="4" t="s">
        <v>256</v>
      </c>
      <c r="F112" s="4">
        <v>45000</v>
      </c>
      <c r="G112" s="4" t="s">
        <v>114</v>
      </c>
      <c r="H112" s="3" t="s">
        <v>114</v>
      </c>
    </row>
    <row r="113" spans="1:8" ht="18.5" x14ac:dyDescent="0.35">
      <c r="A113" s="3">
        <v>19</v>
      </c>
      <c r="B113" s="3" t="s">
        <v>253</v>
      </c>
      <c r="C113" s="4" t="s">
        <v>257</v>
      </c>
      <c r="D113" s="4" t="s">
        <v>258</v>
      </c>
      <c r="E113" s="4" t="s">
        <v>202</v>
      </c>
      <c r="F113" s="4">
        <v>15000</v>
      </c>
      <c r="G113" s="4" t="s">
        <v>114</v>
      </c>
      <c r="H113" s="3" t="s">
        <v>114</v>
      </c>
    </row>
  </sheetData>
  <mergeCells count="5">
    <mergeCell ref="B70:H70"/>
    <mergeCell ref="B93:H93"/>
    <mergeCell ref="B1:H1"/>
    <mergeCell ref="B24:H24"/>
    <mergeCell ref="B47:H47"/>
  </mergeCells>
  <dataValidations count="1">
    <dataValidation type="list" allowBlank="1" showInputMessage="1" showErrorMessage="1" sqref="E3:E21 G3:G21 E26:E44 G26:G44 E49:E68 G72:G91 E72:E91 G49:G68 E95:E113 G95:G113" xr:uid="{FF844E16-9465-4B07-8408-6BA42A95881B}">
      <formula1>"Real-Time, EOM, Admin Adjustment, N/A"</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8CA4A-B754-494B-92F2-0F2FA91A572B}">
  <dimension ref="A1:L15"/>
  <sheetViews>
    <sheetView topLeftCell="C1" workbookViewId="0">
      <selection activeCell="K13" sqref="K13"/>
    </sheetView>
  </sheetViews>
  <sheetFormatPr defaultColWidth="8.81640625" defaultRowHeight="14.5" x14ac:dyDescent="0.35"/>
  <cols>
    <col min="1" max="1" width="12.26953125" bestFit="1" customWidth="1"/>
    <col min="2" max="2" width="46.1796875" bestFit="1" customWidth="1"/>
    <col min="3" max="3" width="50.7265625" bestFit="1" customWidth="1"/>
    <col min="4" max="4" width="44.1796875" bestFit="1" customWidth="1"/>
    <col min="5" max="6" width="17.453125" bestFit="1" customWidth="1"/>
    <col min="7" max="7" width="16" bestFit="1" customWidth="1"/>
    <col min="8" max="8" width="20.1796875" bestFit="1" customWidth="1"/>
    <col min="9" max="9" width="48.453125" customWidth="1"/>
    <col min="10" max="11" width="19.26953125" bestFit="1" customWidth="1"/>
  </cols>
  <sheetData>
    <row r="1" spans="1:12" x14ac:dyDescent="0.35">
      <c r="A1" s="20" t="s">
        <v>99</v>
      </c>
      <c r="B1" s="20" t="s">
        <v>100</v>
      </c>
      <c r="C1" s="20" t="s">
        <v>101</v>
      </c>
      <c r="D1" s="20" t="s">
        <v>102</v>
      </c>
      <c r="E1" s="20" t="s">
        <v>103</v>
      </c>
      <c r="F1" s="20" t="s">
        <v>25</v>
      </c>
      <c r="G1" s="20" t="s">
        <v>104</v>
      </c>
      <c r="H1" s="20" t="s">
        <v>105</v>
      </c>
      <c r="I1" s="20" t="s">
        <v>106</v>
      </c>
      <c r="J1" s="21" t="s">
        <v>107</v>
      </c>
      <c r="K1" s="21" t="s">
        <v>108</v>
      </c>
      <c r="L1" s="20" t="s">
        <v>16</v>
      </c>
    </row>
    <row r="2" spans="1:12" ht="36" customHeight="1" x14ac:dyDescent="0.35">
      <c r="A2" s="11" t="s">
        <v>55</v>
      </c>
      <c r="B2" s="11" t="s">
        <v>109</v>
      </c>
      <c r="C2" s="90" t="s">
        <v>110</v>
      </c>
      <c r="D2" s="10" t="s">
        <v>111</v>
      </c>
      <c r="E2" s="10" t="s">
        <v>112</v>
      </c>
      <c r="F2" s="12" t="s">
        <v>113</v>
      </c>
      <c r="G2" s="10" t="s">
        <v>114</v>
      </c>
      <c r="H2" s="93" t="s">
        <v>110</v>
      </c>
      <c r="I2" s="94" t="s">
        <v>115</v>
      </c>
      <c r="J2" s="14" t="s">
        <v>116</v>
      </c>
      <c r="K2" s="13" t="s">
        <v>117</v>
      </c>
      <c r="L2" s="10"/>
    </row>
    <row r="3" spans="1:12" ht="43.5" x14ac:dyDescent="0.35">
      <c r="A3" s="15" t="s">
        <v>55</v>
      </c>
      <c r="B3" s="15" t="s">
        <v>118</v>
      </c>
      <c r="C3" s="91" t="s">
        <v>110</v>
      </c>
      <c r="D3" s="16" t="s">
        <v>119</v>
      </c>
      <c r="E3" s="16" t="s">
        <v>112</v>
      </c>
      <c r="F3" s="17" t="s">
        <v>113</v>
      </c>
      <c r="G3" s="16" t="s">
        <v>114</v>
      </c>
      <c r="H3" s="95" t="s">
        <v>110</v>
      </c>
      <c r="I3" s="96" t="s">
        <v>115</v>
      </c>
      <c r="J3" s="19" t="s">
        <v>116</v>
      </c>
      <c r="K3" s="18" t="s">
        <v>120</v>
      </c>
      <c r="L3" s="16"/>
    </row>
    <row r="4" spans="1:12" ht="43.5" x14ac:dyDescent="0.35">
      <c r="A4" s="11" t="s">
        <v>55</v>
      </c>
      <c r="B4" s="11" t="s">
        <v>121</v>
      </c>
      <c r="C4" s="90" t="s">
        <v>110</v>
      </c>
      <c r="D4" s="10" t="s">
        <v>122</v>
      </c>
      <c r="E4" s="10" t="s">
        <v>112</v>
      </c>
      <c r="F4" s="12" t="s">
        <v>113</v>
      </c>
      <c r="G4" s="10" t="s">
        <v>114</v>
      </c>
      <c r="H4" s="90" t="s">
        <v>110</v>
      </c>
      <c r="I4" s="93" t="s">
        <v>115</v>
      </c>
      <c r="J4" s="14" t="s">
        <v>116</v>
      </c>
      <c r="K4" s="13" t="s">
        <v>120</v>
      </c>
      <c r="L4" s="10"/>
    </row>
    <row r="5" spans="1:12" ht="43.5" x14ac:dyDescent="0.35">
      <c r="A5" s="11" t="s">
        <v>55</v>
      </c>
      <c r="B5" s="11" t="s">
        <v>123</v>
      </c>
      <c r="C5" s="90" t="s">
        <v>110</v>
      </c>
      <c r="D5" s="10" t="s">
        <v>124</v>
      </c>
      <c r="E5" s="10" t="s">
        <v>112</v>
      </c>
      <c r="F5" s="12" t="s">
        <v>113</v>
      </c>
      <c r="G5" s="10" t="s">
        <v>114</v>
      </c>
      <c r="H5" s="93" t="s">
        <v>110</v>
      </c>
      <c r="I5" s="93" t="s">
        <v>115</v>
      </c>
      <c r="J5" s="14" t="s">
        <v>116</v>
      </c>
      <c r="K5" s="13" t="s">
        <v>120</v>
      </c>
      <c r="L5" s="10"/>
    </row>
    <row r="6" spans="1:12" ht="43.5" x14ac:dyDescent="0.35">
      <c r="A6" s="11" t="s">
        <v>55</v>
      </c>
      <c r="B6" s="11" t="s">
        <v>125</v>
      </c>
      <c r="C6" s="90" t="s">
        <v>110</v>
      </c>
      <c r="D6" s="10" t="s">
        <v>126</v>
      </c>
      <c r="E6" s="10" t="s">
        <v>112</v>
      </c>
      <c r="F6" s="10" t="s">
        <v>113</v>
      </c>
      <c r="G6" s="10" t="s">
        <v>114</v>
      </c>
      <c r="H6" s="93" t="s">
        <v>110</v>
      </c>
      <c r="I6" s="93" t="s">
        <v>115</v>
      </c>
      <c r="J6" s="13" t="s">
        <v>127</v>
      </c>
      <c r="K6" s="13" t="s">
        <v>120</v>
      </c>
      <c r="L6" s="10"/>
    </row>
    <row r="7" spans="1:12" ht="43.5" x14ac:dyDescent="0.35">
      <c r="A7" s="11" t="s">
        <v>55</v>
      </c>
      <c r="B7" s="11" t="s">
        <v>128</v>
      </c>
      <c r="C7" s="90" t="s">
        <v>110</v>
      </c>
      <c r="D7" s="10" t="s">
        <v>129</v>
      </c>
      <c r="E7" s="10" t="s">
        <v>55</v>
      </c>
      <c r="F7" s="12" t="s">
        <v>113</v>
      </c>
      <c r="G7" s="10" t="s">
        <v>114</v>
      </c>
      <c r="H7" s="93" t="s">
        <v>110</v>
      </c>
      <c r="I7" s="93" t="s">
        <v>115</v>
      </c>
      <c r="J7" s="13" t="s">
        <v>127</v>
      </c>
      <c r="K7" s="13" t="s">
        <v>120</v>
      </c>
      <c r="L7" s="10"/>
    </row>
    <row r="8" spans="1:12" ht="43.5" x14ac:dyDescent="0.35">
      <c r="A8" s="22" t="s">
        <v>55</v>
      </c>
      <c r="B8" s="23" t="s">
        <v>130</v>
      </c>
      <c r="C8" s="92" t="s">
        <v>110</v>
      </c>
      <c r="D8" s="24" t="s">
        <v>131</v>
      </c>
      <c r="E8" s="24" t="s">
        <v>112</v>
      </c>
      <c r="F8" s="25" t="s">
        <v>113</v>
      </c>
      <c r="G8" s="24" t="s">
        <v>114</v>
      </c>
      <c r="H8" s="92" t="s">
        <v>110</v>
      </c>
      <c r="I8" s="92" t="s">
        <v>115</v>
      </c>
      <c r="J8" s="24" t="s">
        <v>116</v>
      </c>
      <c r="K8" s="26" t="s">
        <v>132</v>
      </c>
      <c r="L8" s="24"/>
    </row>
    <row r="9" spans="1:12" ht="43.5" x14ac:dyDescent="0.35">
      <c r="A9" s="22" t="s">
        <v>55</v>
      </c>
      <c r="B9" s="23" t="s">
        <v>133</v>
      </c>
      <c r="C9" s="92" t="s">
        <v>110</v>
      </c>
      <c r="D9" s="24" t="s">
        <v>134</v>
      </c>
      <c r="E9" s="24" t="s">
        <v>112</v>
      </c>
      <c r="F9" s="25" t="s">
        <v>113</v>
      </c>
      <c r="G9" s="24" t="s">
        <v>114</v>
      </c>
      <c r="H9" s="92" t="s">
        <v>110</v>
      </c>
      <c r="I9" s="92" t="s">
        <v>115</v>
      </c>
      <c r="J9" s="24" t="s">
        <v>116</v>
      </c>
      <c r="K9" s="26" t="s">
        <v>132</v>
      </c>
      <c r="L9" s="24"/>
    </row>
    <row r="10" spans="1:12" ht="43.5" x14ac:dyDescent="0.35">
      <c r="A10" s="22" t="s">
        <v>55</v>
      </c>
      <c r="B10" s="22" t="s">
        <v>135</v>
      </c>
      <c r="C10" s="92" t="s">
        <v>110</v>
      </c>
      <c r="D10" s="24" t="s">
        <v>136</v>
      </c>
      <c r="E10" s="24" t="s">
        <v>112</v>
      </c>
      <c r="F10" s="25" t="s">
        <v>113</v>
      </c>
      <c r="G10" s="24" t="s">
        <v>114</v>
      </c>
      <c r="H10" s="92" t="s">
        <v>110</v>
      </c>
      <c r="I10" s="92" t="s">
        <v>115</v>
      </c>
      <c r="J10" s="26" t="s">
        <v>137</v>
      </c>
      <c r="K10" s="26" t="s">
        <v>120</v>
      </c>
      <c r="L10" s="24"/>
    </row>
    <row r="14" spans="1:12" x14ac:dyDescent="0.35">
      <c r="B14" s="27" t="s">
        <v>138</v>
      </c>
    </row>
    <row r="15" spans="1:12" x14ac:dyDescent="0.35">
      <c r="B15" s="28" t="s">
        <v>139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DF964-B631-4937-8581-3A5A33C8DD3E}">
  <dimension ref="A1:C57"/>
  <sheetViews>
    <sheetView workbookViewId="0">
      <selection activeCell="B12" sqref="B12"/>
    </sheetView>
  </sheetViews>
  <sheetFormatPr defaultColWidth="8.81640625" defaultRowHeight="14.5" x14ac:dyDescent="0.35"/>
  <cols>
    <col min="1" max="1" width="97" customWidth="1"/>
    <col min="2" max="2" width="53" customWidth="1"/>
    <col min="3" max="3" width="183.26953125" bestFit="1" customWidth="1"/>
  </cols>
  <sheetData>
    <row r="1" spans="1:3" ht="21" x14ac:dyDescent="0.5">
      <c r="A1" s="140" t="s">
        <v>140</v>
      </c>
      <c r="B1" s="140"/>
      <c r="C1" s="140"/>
    </row>
    <row r="2" spans="1:3" x14ac:dyDescent="0.35">
      <c r="A2" s="58"/>
      <c r="B2" s="59"/>
      <c r="C2" s="58"/>
    </row>
    <row r="3" spans="1:3" x14ac:dyDescent="0.35">
      <c r="A3" s="60" t="s">
        <v>141</v>
      </c>
      <c r="B3" s="61" t="s">
        <v>142</v>
      </c>
      <c r="C3" s="60" t="s">
        <v>143</v>
      </c>
    </row>
    <row r="4" spans="1:3" x14ac:dyDescent="0.35">
      <c r="A4" s="63" t="s">
        <v>144</v>
      </c>
      <c r="B4" s="78"/>
      <c r="C4" s="63"/>
    </row>
    <row r="5" spans="1:3" x14ac:dyDescent="0.35">
      <c r="A5" s="63" t="s">
        <v>145</v>
      </c>
      <c r="B5" s="79"/>
      <c r="C5" s="63"/>
    </row>
    <row r="6" spans="1:3" x14ac:dyDescent="0.35">
      <c r="A6" s="63" t="s">
        <v>146</v>
      </c>
      <c r="B6" s="78"/>
      <c r="C6" s="80"/>
    </row>
    <row r="7" spans="1:3" x14ac:dyDescent="0.35">
      <c r="A7" s="63" t="s">
        <v>147</v>
      </c>
      <c r="B7" s="81"/>
      <c r="C7" s="63"/>
    </row>
    <row r="8" spans="1:3" x14ac:dyDescent="0.35">
      <c r="A8" s="63" t="s">
        <v>148</v>
      </c>
      <c r="B8" s="78"/>
      <c r="C8" s="63"/>
    </row>
    <row r="9" spans="1:3" x14ac:dyDescent="0.35">
      <c r="A9" s="63" t="s">
        <v>149</v>
      </c>
      <c r="B9" s="78"/>
      <c r="C9" s="63"/>
    </row>
    <row r="10" spans="1:3" x14ac:dyDescent="0.35">
      <c r="A10" s="63" t="s">
        <v>150</v>
      </c>
      <c r="B10" s="78"/>
      <c r="C10" s="63"/>
    </row>
    <row r="11" spans="1:3" x14ac:dyDescent="0.35">
      <c r="A11" s="63" t="s">
        <v>151</v>
      </c>
      <c r="B11" s="78"/>
      <c r="C11" s="63"/>
    </row>
    <row r="12" spans="1:3" ht="116" x14ac:dyDescent="0.35">
      <c r="A12" s="81" t="s">
        <v>152</v>
      </c>
      <c r="B12" s="78"/>
      <c r="C12" s="63"/>
    </row>
    <row r="13" spans="1:3" x14ac:dyDescent="0.35">
      <c r="A13" s="81" t="s">
        <v>153</v>
      </c>
      <c r="B13" s="78"/>
      <c r="C13" s="63"/>
    </row>
    <row r="14" spans="1:3" ht="87" x14ac:dyDescent="0.35">
      <c r="A14" s="81" t="s">
        <v>154</v>
      </c>
      <c r="B14" s="78"/>
      <c r="C14" s="63"/>
    </row>
    <row r="15" spans="1:3" x14ac:dyDescent="0.35">
      <c r="A15" s="63" t="s">
        <v>155</v>
      </c>
      <c r="B15" s="78"/>
      <c r="C15" s="63"/>
    </row>
    <row r="16" spans="1:3" x14ac:dyDescent="0.35">
      <c r="A16" s="63" t="s">
        <v>156</v>
      </c>
      <c r="B16" s="78"/>
      <c r="C16" s="63"/>
    </row>
    <row r="17" spans="1:3" x14ac:dyDescent="0.35">
      <c r="A17" s="63" t="s">
        <v>157</v>
      </c>
      <c r="B17" s="78"/>
      <c r="C17" s="63"/>
    </row>
    <row r="18" spans="1:3" x14ac:dyDescent="0.35">
      <c r="A18" s="63" t="s">
        <v>158</v>
      </c>
      <c r="B18" s="78"/>
      <c r="C18" s="63"/>
    </row>
    <row r="19" spans="1:3" x14ac:dyDescent="0.35">
      <c r="A19" s="63" t="s">
        <v>159</v>
      </c>
      <c r="B19" s="78"/>
      <c r="C19" s="63"/>
    </row>
    <row r="20" spans="1:3" x14ac:dyDescent="0.35">
      <c r="A20" s="63" t="s">
        <v>160</v>
      </c>
      <c r="B20" s="78"/>
      <c r="C20" s="63"/>
    </row>
    <row r="21" spans="1:3" x14ac:dyDescent="0.35">
      <c r="A21" s="63" t="s">
        <v>161</v>
      </c>
      <c r="B21" s="78"/>
      <c r="C21" s="63"/>
    </row>
    <row r="22" spans="1:3" x14ac:dyDescent="0.35">
      <c r="A22" s="63" t="s">
        <v>162</v>
      </c>
      <c r="B22" s="78"/>
      <c r="C22" s="63"/>
    </row>
    <row r="23" spans="1:3" x14ac:dyDescent="0.35">
      <c r="A23" s="63" t="s">
        <v>163</v>
      </c>
      <c r="B23" s="78"/>
      <c r="C23" s="63"/>
    </row>
    <row r="24" spans="1:3" x14ac:dyDescent="0.35">
      <c r="A24" s="63" t="s">
        <v>164</v>
      </c>
      <c r="B24" s="78"/>
      <c r="C24" s="63"/>
    </row>
    <row r="25" spans="1:3" x14ac:dyDescent="0.35">
      <c r="A25" s="63" t="s">
        <v>165</v>
      </c>
      <c r="B25" s="78"/>
      <c r="C25" s="63"/>
    </row>
    <row r="26" spans="1:3" x14ac:dyDescent="0.35">
      <c r="A26" s="63" t="s">
        <v>166</v>
      </c>
      <c r="B26" s="78"/>
      <c r="C26" s="63"/>
    </row>
    <row r="27" spans="1:3" x14ac:dyDescent="0.35">
      <c r="A27" s="63" t="s">
        <v>167</v>
      </c>
      <c r="B27" s="78"/>
      <c r="C27" s="63"/>
    </row>
    <row r="28" spans="1:3" x14ac:dyDescent="0.35">
      <c r="A28" s="63" t="s">
        <v>168</v>
      </c>
      <c r="B28" s="64"/>
      <c r="C28" s="63"/>
    </row>
    <row r="29" spans="1:3" x14ac:dyDescent="0.35">
      <c r="A29" s="63" t="s">
        <v>169</v>
      </c>
      <c r="B29" s="78"/>
      <c r="C29" s="63"/>
    </row>
    <row r="30" spans="1:3" x14ac:dyDescent="0.35">
      <c r="A30" s="63" t="s">
        <v>170</v>
      </c>
      <c r="B30" s="78"/>
      <c r="C30" s="63"/>
    </row>
    <row r="31" spans="1:3" x14ac:dyDescent="0.35">
      <c r="A31" s="63" t="s">
        <v>171</v>
      </c>
      <c r="B31" s="78"/>
      <c r="C31" s="63"/>
    </row>
    <row r="32" spans="1:3" x14ac:dyDescent="0.35">
      <c r="A32" s="63" t="s">
        <v>172</v>
      </c>
      <c r="B32" s="78"/>
      <c r="C32" s="63"/>
    </row>
    <row r="33" spans="1:3" x14ac:dyDescent="0.35">
      <c r="A33" s="63" t="s">
        <v>173</v>
      </c>
      <c r="B33" s="78"/>
      <c r="C33" s="63"/>
    </row>
    <row r="34" spans="1:3" x14ac:dyDescent="0.35">
      <c r="A34" s="63" t="s">
        <v>174</v>
      </c>
      <c r="B34" s="78"/>
      <c r="C34" s="63"/>
    </row>
    <row r="35" spans="1:3" ht="409.5" x14ac:dyDescent="0.35">
      <c r="A35" s="81" t="s">
        <v>175</v>
      </c>
      <c r="B35" s="64"/>
      <c r="C35" s="63"/>
    </row>
    <row r="36" spans="1:3" x14ac:dyDescent="0.35">
      <c r="A36" s="82"/>
      <c r="B36" s="83"/>
      <c r="C36" s="65"/>
    </row>
    <row r="37" spans="1:3" x14ac:dyDescent="0.35">
      <c r="A37" s="65"/>
      <c r="B37" s="66"/>
      <c r="C37" s="65"/>
    </row>
    <row r="38" spans="1:3" x14ac:dyDescent="0.35">
      <c r="A38" s="89" t="s">
        <v>176</v>
      </c>
      <c r="B38" s="67"/>
      <c r="C38" s="68"/>
    </row>
    <row r="39" spans="1:3" x14ac:dyDescent="0.35">
      <c r="A39" s="63" t="s">
        <v>177</v>
      </c>
      <c r="B39" s="64"/>
      <c r="C39" s="63"/>
    </row>
    <row r="40" spans="1:3" x14ac:dyDescent="0.35">
      <c r="A40" s="63" t="s">
        <v>57</v>
      </c>
      <c r="B40" s="64"/>
      <c r="C40" s="63"/>
    </row>
    <row r="41" spans="1:3" x14ac:dyDescent="0.35">
      <c r="A41" s="63" t="s">
        <v>58</v>
      </c>
      <c r="B41" s="63"/>
      <c r="C41" s="63"/>
    </row>
    <row r="42" spans="1:3" x14ac:dyDescent="0.35">
      <c r="A42" s="63" t="s">
        <v>178</v>
      </c>
      <c r="B42" s="64"/>
      <c r="C42" s="63"/>
    </row>
    <row r="43" spans="1:3" x14ac:dyDescent="0.35">
      <c r="A43" s="63" t="s">
        <v>179</v>
      </c>
      <c r="B43" s="64"/>
      <c r="C43" s="63"/>
    </row>
    <row r="44" spans="1:3" x14ac:dyDescent="0.35">
      <c r="A44" s="63" t="s">
        <v>180</v>
      </c>
      <c r="B44" s="63"/>
      <c r="C44" s="63"/>
    </row>
    <row r="45" spans="1:3" x14ac:dyDescent="0.35">
      <c r="A45" s="63" t="s">
        <v>181</v>
      </c>
      <c r="B45" s="84"/>
      <c r="C45" s="63"/>
    </row>
    <row r="46" spans="1:3" x14ac:dyDescent="0.35">
      <c r="A46" s="63" t="s">
        <v>182</v>
      </c>
      <c r="B46" s="85"/>
      <c r="C46" s="63"/>
    </row>
    <row r="47" spans="1:3" x14ac:dyDescent="0.35">
      <c r="A47" s="63" t="s">
        <v>183</v>
      </c>
      <c r="B47" s="86"/>
      <c r="C47" s="63"/>
    </row>
    <row r="48" spans="1:3" x14ac:dyDescent="0.35">
      <c r="A48" s="63" t="s">
        <v>184</v>
      </c>
      <c r="B48" s="86"/>
      <c r="C48" s="63"/>
    </row>
    <row r="49" spans="1:3" x14ac:dyDescent="0.35">
      <c r="A49" s="63" t="s">
        <v>185</v>
      </c>
      <c r="B49" s="86"/>
      <c r="C49" s="63"/>
    </row>
    <row r="50" spans="1:3" x14ac:dyDescent="0.35">
      <c r="A50" s="63" t="s">
        <v>186</v>
      </c>
      <c r="B50" s="87"/>
      <c r="C50" s="88"/>
    </row>
    <row r="51" spans="1:3" x14ac:dyDescent="0.35">
      <c r="A51" s="65"/>
      <c r="B51" s="66"/>
      <c r="C51" s="65"/>
    </row>
    <row r="52" spans="1:3" x14ac:dyDescent="0.35">
      <c r="A52" s="65"/>
      <c r="B52" s="66"/>
      <c r="C52" s="65"/>
    </row>
    <row r="53" spans="1:3" x14ac:dyDescent="0.35">
      <c r="A53" s="69" t="s">
        <v>187</v>
      </c>
      <c r="B53" s="70" t="s">
        <v>188</v>
      </c>
      <c r="C53" s="71" t="s">
        <v>189</v>
      </c>
    </row>
    <row r="54" spans="1:3" x14ac:dyDescent="0.35">
      <c r="A54" s="72" t="s">
        <v>190</v>
      </c>
      <c r="B54" s="66"/>
      <c r="C54" s="73"/>
    </row>
    <row r="55" spans="1:3" x14ac:dyDescent="0.35">
      <c r="A55" s="72" t="s">
        <v>191</v>
      </c>
      <c r="B55" s="62"/>
      <c r="C55" s="74"/>
    </row>
    <row r="56" spans="1:3" x14ac:dyDescent="0.35">
      <c r="A56" s="72" t="s">
        <v>192</v>
      </c>
      <c r="B56" s="62"/>
      <c r="C56" s="74"/>
    </row>
    <row r="57" spans="1:3" x14ac:dyDescent="0.35">
      <c r="A57" s="75" t="s">
        <v>193</v>
      </c>
      <c r="B57" s="76"/>
      <c r="C57" s="77"/>
    </row>
  </sheetData>
  <mergeCells count="1">
    <mergeCell ref="A1:C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8217e2a-6c14-4587-b17f-7e51412bc0b4" xsi:nil="true"/>
    <lcf76f155ced4ddcb4097134ff3c332f xmlns="480a1779-58cc-4e12-9c41-709c0fff7184">
      <Terms xmlns="http://schemas.microsoft.com/office/infopath/2007/PartnerControls"/>
    </lcf76f155ced4ddcb4097134ff3c332f>
    <TaxCatchAll xmlns="1b7e9c50-5ec0-4417-a6b4-06fadd3425fd"/>
    <Reviewd xmlns="480a1779-58cc-4e12-9c41-709c0fff7184">No</Reviewd>
    <AccountableExecutive xmlns="480a1779-58cc-4e12-9c41-709c0fff7184">
      <UserInfo>
        <DisplayName/>
        <AccountId xsi:nil="true"/>
        <AccountType/>
      </UserInfo>
    </AccountableExecutive>
    <_x0032_ndaryReview xmlns="480a1779-58cc-4e12-9c41-709c0fff7184">No</_x0032_ndaryReview>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EEF8535989611479C6EB577CAC14B45" ma:contentTypeVersion="13" ma:contentTypeDescription="Create a new document." ma:contentTypeScope="" ma:versionID="96706983ec789add65a8153795d8ed70">
  <xsd:schema xmlns:xsd="http://www.w3.org/2001/XMLSchema" xmlns:xs="http://www.w3.org/2001/XMLSchema" xmlns:p="http://schemas.microsoft.com/office/2006/metadata/properties" xmlns:ns2="480a1779-58cc-4e12-9c41-709c0fff7184" xmlns:ns3="1b7e9c50-5ec0-4417-a6b4-06fadd3425fd" targetNamespace="http://schemas.microsoft.com/office/2006/metadata/properties" ma:root="true" ma:fieldsID="3ecdd5b7807e7798fdb7eabd232b259b" ns2:_="" ns3:_="">
    <xsd:import namespace="480a1779-58cc-4e12-9c41-709c0fff7184"/>
    <xsd:import namespace="1b7e9c50-5ec0-4417-a6b4-06fadd3425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AccountableExecutive" minOccurs="0"/>
                <xsd:element ref="ns2:Reviewd" minOccurs="0"/>
                <xsd:element ref="ns2:_x0032_ndaryReview"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0a1779-58cc-4e12-9c41-709c0fff71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6adef6-3351-41ca-b752-b8cedf7a199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AccountableExecutive" ma:index="18" nillable="true" ma:displayName="Accountable Executive" ma:format="Dropdown" ma:list="UserInfo" ma:SharePointGroup="0" ma:internalName="AccountableExecutiv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ewd" ma:index="19" nillable="true" ma:displayName="Reviewed" ma:default="No" ma:format="Dropdown" ma:internalName="Reviewd">
      <xsd:simpleType>
        <xsd:restriction base="dms:Choice">
          <xsd:enumeration value="Yes"/>
          <xsd:enumeration value="No"/>
        </xsd:restriction>
      </xsd:simpleType>
    </xsd:element>
    <xsd:element name="_x0032_ndaryReview" ma:index="20" nillable="true" ma:displayName="2ndary Review" ma:default="No" ma:description="Applicable when 2 are needed to review" ma:format="Dropdown" ma:internalName="_x0032_ndaryReview">
      <xsd:simpleType>
        <xsd:restriction base="dms:Choice">
          <xsd:enumeration value="Yes"/>
          <xsd:enumeration value="No"/>
          <xsd:enumeration value="Not needed"/>
        </xsd:restriction>
      </xsd:simpleType>
    </xsd:element>
  </xsd:schema>
  <xsd:schema xmlns:xsd="http://www.w3.org/2001/XMLSchema" xmlns:xs="http://www.w3.org/2001/XMLSchema" xmlns:dms="http://schemas.microsoft.com/office/2006/documentManagement/types" xmlns:pc="http://schemas.microsoft.com/office/infopath/2007/PartnerControls" targetNamespace="1b7e9c50-5ec0-4417-a6b4-06fadd3425f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5435cdf-e026-4ae2-bae7-2589cf2ee4ad}" ma:internalName="TaxCatchAll" ma:showField="CatchAllData" ma:web="94f3dea9-e349-476b-9438-6d17a6f849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E35B9C-6B5B-43D9-9B3E-E47909ECB2E9}">
  <ds:schemaRefs>
    <ds:schemaRef ds:uri="http://schemas.microsoft.com/office/2006/metadata/properties"/>
    <ds:schemaRef ds:uri="http://schemas.microsoft.com/office/infopath/2007/PartnerControls"/>
    <ds:schemaRef ds:uri="967a7a1d-9ecd-4fc8-8bcc-d1ee2cbcbcf1"/>
    <ds:schemaRef ds:uri="c8217e2a-6c14-4587-b17f-7e51412bc0b4"/>
    <ds:schemaRef ds:uri="480a1779-58cc-4e12-9c41-709c0fff7184"/>
    <ds:schemaRef ds:uri="1b7e9c50-5ec0-4417-a6b4-06fadd3425fd"/>
  </ds:schemaRefs>
</ds:datastoreItem>
</file>

<file path=customXml/itemProps2.xml><?xml version="1.0" encoding="utf-8"?>
<ds:datastoreItem xmlns:ds="http://schemas.openxmlformats.org/officeDocument/2006/customXml" ds:itemID="{9A9CAEBA-E5FD-4EB8-B4C3-96F6564E7E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80a1779-58cc-4e12-9c41-709c0fff7184"/>
    <ds:schemaRef ds:uri="1b7e9c50-5ec0-4417-a6b4-06fadd3425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1DBFB2-E254-4768-A039-74817314BD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Compliance</vt:lpstr>
      <vt:lpstr>Tenant Config</vt:lpstr>
      <vt:lpstr>Product Questions</vt:lpstr>
      <vt:lpstr>Product Type Configuration</vt:lpstr>
      <vt:lpstr>Limits</vt:lpstr>
      <vt:lpstr>Fees</vt:lpstr>
      <vt:lpstr>Operating Accounts</vt:lpstr>
      <vt:lpstr>Card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Aaron McWilliams</cp:lastModifiedBy>
  <cp:revision/>
  <dcterms:created xsi:type="dcterms:W3CDTF">2025-12-16T16:13:01Z</dcterms:created>
  <dcterms:modified xsi:type="dcterms:W3CDTF">2026-06-23T19:24:33Z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0x0101005EEF8535989611479C6EB577CAC14B45</vt:lpwstr>
  </property>
  <property fmtid="{D5CDD505-2E9C-101B-9397-08002B2CF9AE}" pid="3" name="MediaServiceImageTags">
    <vt:lpwstr/>
  </property>
</Properties>
</file>